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TypeMaker" sheetId="1" state="visible" r:id="rId2"/>
    <sheet name="1_RO_ModelHeader" sheetId="2" state="visible" r:id="rId3"/>
    <sheet name="2_RO_ModelMaker" sheetId="3" state="visible" r:id="rId4"/>
    <sheet name="3_RO_CodeMaker" sheetId="4" state="visible" r:id="rId5"/>
    <sheet name="4_AD_Package_Exp" sheetId="5" state="visible" r:id="rId6"/>
    <sheet name="5_AD_Package_Exp_Detail" sheetId="6" state="visible" r:id="rId7"/>
    <sheet name="C_BPartner" sheetId="7" state="visible" r:id="rId8"/>
    <sheet name="ModelMakerSource" sheetId="8" state="visible" r:id="rId9"/>
    <sheet name="HR_HumanResourceManagement" sheetId="9" state="visible" r:id="rId10"/>
    <sheet name="HR_JobDesignation" sheetId="10" state="visible" r:id="rId11"/>
    <sheet name="HR_Trainer&#10;" sheetId="11" state="visible" r:id="rId12"/>
    <sheet name="HR_Rank_ID&#10;" sheetId="12" state="visible" r:id="rId13"/>
    <sheet name="HR_TrainingType" sheetId="13" state="visible" r:id="rId14"/>
    <sheet name="HR_ManpowerRequirement" sheetId="14" state="visible" r:id="rId15"/>
    <sheet name="HR_EmploymentHistory" sheetId="15" state="visible" r:id="rId16"/>
    <sheet name="HR_Appraisal" sheetId="16" state="visible" r:id="rId17"/>
    <sheet name="HR_Training" sheetId="17" state="visible" r:id="rId18"/>
    <sheet name="HR_LeaveApplication" sheetId="18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<sst xmlns="http://schemas.openxmlformats.org/spreadsheetml/2006/main" count="433" uniqueCount="223">
  <si>
    <t xml:space="preserve">DATATYPE </t>
  </si>
  <si>
    <t xml:space="preserve">List of Static Values</t>
  </si>
  <si>
    <t xml:space="preserve">List..</t>
  </si>
  <si>
    <t xml:space="preserve">Y/N Box</t>
  </si>
  <si>
    <t xml:space="preserve">Quantity</t>
  </si>
  <si>
    <t xml:space="preserve">For Model Maker</t>
  </si>
  <si>
    <t xml:space="preserve">DataTypeCode</t>
  </si>
  <si>
    <t xml:space="preserve">L#</t>
  </si>
  <si>
    <t xml:space="preserve">Y#</t>
  </si>
  <si>
    <t xml:space="preserve">Q#</t>
  </si>
  <si>
    <t xml:space="preserve">Name</t>
  </si>
  <si>
    <t xml:space="preserve">Qualification</t>
  </si>
  <si>
    <t xml:space="preserve">ContractType</t>
  </si>
  <si>
    <t xml:space="preserve">PaidBy</t>
  </si>
  <si>
    <t xml:space="preserve">TrainingType</t>
  </si>
  <si>
    <t xml:space="preserve">Performance</t>
  </si>
  <si>
    <t xml:space="preserve">Certified</t>
  </si>
  <si>
    <t xml:space="preserve">YearsExperience</t>
  </si>
  <si>
    <t xml:space="preserve">Registered</t>
  </si>
  <si>
    <t xml:space="preserve">NoOfDays</t>
  </si>
  <si>
    <t xml:space="preserve">NoOfHours</t>
  </si>
  <si>
    <t xml:space="preserve">List Values</t>
  </si>
  <si>
    <r>
      <rPr>
        <sz val="10"/>
        <color rgb="FF000000"/>
        <rFont val="Arial"/>
        <family val="2"/>
      </rPr>
      <t xml:space="preserve">1</t>
    </r>
    <r>
      <rPr>
        <vertAlign val="superscript"/>
        <sz val="10"/>
        <color rgb="FF000000"/>
        <rFont val="Arial"/>
        <family val="2"/>
      </rPr>
      <t xml:space="preserve">st</t>
    </r>
  </si>
  <si>
    <t xml:space="preserve">Phd</t>
  </si>
  <si>
    <t xml:space="preserve">Permanent</t>
  </si>
  <si>
    <t xml:space="preserve">Hourly</t>
  </si>
  <si>
    <t xml:space="preserve">InHouse</t>
  </si>
  <si>
    <t xml:space="preserve">Excellent</t>
  </si>
  <si>
    <r>
      <rPr>
        <sz val="10"/>
        <color rgb="FF000000"/>
        <rFont val="Arial"/>
        <family val="2"/>
      </rPr>
      <t xml:space="preserve">2</t>
    </r>
    <r>
      <rPr>
        <vertAlign val="superscript"/>
        <sz val="10"/>
        <color rgb="FF000000"/>
        <rFont val="Arial"/>
        <family val="2"/>
      </rPr>
      <t xml:space="preserve">nd</t>
    </r>
  </si>
  <si>
    <t xml:space="preserve">Masters</t>
  </si>
  <si>
    <t xml:space="preserve">Contract</t>
  </si>
  <si>
    <t xml:space="preserve">Daily</t>
  </si>
  <si>
    <t xml:space="preserve">Outsourced</t>
  </si>
  <si>
    <t xml:space="preserve">Good</t>
  </si>
  <si>
    <r>
      <rPr>
        <sz val="10"/>
        <color rgb="FF000000"/>
        <rFont val="Arial"/>
        <family val="2"/>
      </rPr>
      <t xml:space="preserve">3</t>
    </r>
    <r>
      <rPr>
        <vertAlign val="superscript"/>
        <sz val="10"/>
        <color rgb="FF000000"/>
        <rFont val="Arial"/>
        <family val="2"/>
      </rPr>
      <t xml:space="preserve">rd</t>
    </r>
  </si>
  <si>
    <t xml:space="preserve">Bachelor</t>
  </si>
  <si>
    <t xml:space="preserve">Temporary</t>
  </si>
  <si>
    <t xml:space="preserve">Monthly</t>
  </si>
  <si>
    <t xml:space="preserve">Academy</t>
  </si>
  <si>
    <t xml:space="preserve">Fair</t>
  </si>
  <si>
    <r>
      <rPr>
        <sz val="10"/>
        <color rgb="FF000000"/>
        <rFont val="Arial"/>
        <family val="2"/>
      </rPr>
      <t xml:space="preserve">4</t>
    </r>
    <r>
      <rPr>
        <vertAlign val="superscript"/>
        <sz val="10"/>
        <color rgb="FF000000"/>
        <rFont val="Arial"/>
        <family val="2"/>
      </rPr>
      <t xml:space="preserve">th</t>
    </r>
  </si>
  <si>
    <t xml:space="preserve">Diploma</t>
  </si>
  <si>
    <t xml:space="preserve">OneTime</t>
  </si>
  <si>
    <t xml:space="preserve">Project</t>
  </si>
  <si>
    <t xml:space="preserve">Adhoc</t>
  </si>
  <si>
    <t xml:space="preserve">Poor</t>
  </si>
  <si>
    <r>
      <rPr>
        <sz val="10"/>
        <color rgb="FF000000"/>
        <rFont val="Arial"/>
        <family val="2"/>
      </rPr>
      <t xml:space="preserve">5</t>
    </r>
    <r>
      <rPr>
        <vertAlign val="superscript"/>
        <sz val="10"/>
        <color rgb="FF000000"/>
        <rFont val="Arial"/>
        <family val="2"/>
      </rPr>
      <t xml:space="preserve">th</t>
    </r>
  </si>
  <si>
    <t xml:space="preserve">Certificate</t>
  </si>
  <si>
    <t xml:space="preserve">Impromptu</t>
  </si>
  <si>
    <t xml:space="preserve">Free</t>
  </si>
  <si>
    <t xml:space="preserve">Version</t>
  </si>
  <si>
    <t xml:space="preserve">HRMIS</t>
  </si>
  <si>
    <t xml:space="preserve">RO_ModelHeader_ID</t>
  </si>
  <si>
    <t xml:space="preserve">SeqNo</t>
  </si>
  <si>
    <t xml:space="preserve">WorkflowStructure</t>
  </si>
  <si>
    <t xml:space="preserve">KanbanBoard</t>
  </si>
  <si>
    <t xml:space="preserve">Master</t>
  </si>
  <si>
    <t xml:space="preserve">Help</t>
  </si>
  <si>
    <t xml:space="preserve">ColumnSet</t>
  </si>
  <si>
    <t xml:space="preserve">N</t>
  </si>
  <si>
    <t xml:space="preserve">HR_Terminology</t>
  </si>
  <si>
    <t xml:space="preserve">Preset DataTypes that shall be used later on.  Ninja Excel : DataTypeMaker</t>
  </si>
  <si>
    <t xml:space="preserve">Main Tab,C_Bpartner_ID&gt;Company</t>
  </si>
  <si>
    <t xml:space="preserve">HR Job Descriptions, AD_User_ID&gt;Substitute</t>
  </si>
  <si>
    <t xml:space="preserve">Trainer Details. C_Bpartner_ID&gt;Trainer</t>
  </si>
  <si>
    <t xml:space="preserve">Rank Details</t>
  </si>
  <si>
    <t xml:space="preserve">Type of Training</t>
  </si>
  <si>
    <t xml:space="preserve">Manpower Requirement and Vacancy Status,AD_Org_ID&gt;Department</t>
  </si>
  <si>
    <t xml:space="preserve">Current Employment. Additional to AD_User record,AD_User_ID&gt;Superior</t>
  </si>
  <si>
    <t xml:space="preserve">History of Employee</t>
  </si>
  <si>
    <t xml:space="preserve">Medical History</t>
  </si>
  <si>
    <t xml:space="preserve">Payorll</t>
  </si>
  <si>
    <t xml:space="preserve">Payroll Details</t>
  </si>
  <si>
    <t xml:space="preserve">Family Members</t>
  </si>
  <si>
    <t xml:space="preserve">Appraisal</t>
  </si>
  <si>
    <t xml:space="preserve">Training Record History</t>
  </si>
  <si>
    <t xml:space="preserve">Leave Application and Status</t>
  </si>
  <si>
    <t xml:space="preserve">Assistance Request, tie to CRM Request model</t>
  </si>
  <si>
    <t xml:space="preserve">PluginLocation</t>
  </si>
  <si>
    <t xml:space="preserve">GenerateModel</t>
  </si>
  <si>
    <t xml:space="preserve">GenerateModelFactory</t>
  </si>
  <si>
    <t xml:space="preserve">GenerateProcess</t>
  </si>
  <si>
    <t xml:space="preserve">Description</t>
  </si>
  <si>
    <t xml:space="preserve">ProcessParameters</t>
  </si>
  <si>
    <t xml:space="preserve">/usr/local/org.red1.blank/src/</t>
  </si>
  <si>
    <t xml:space="preserve">Y</t>
  </si>
  <si>
    <t xml:space="preserve">MY_Process</t>
  </si>
  <si>
    <t xml:space="preserve">IsActive</t>
  </si>
  <si>
    <t xml:space="preserve">AD_Client_ID</t>
  </si>
  <si>
    <t xml:space="preserve">AD_Org_ID</t>
  </si>
  <si>
    <t xml:space="preserve">PK_Version</t>
  </si>
  <si>
    <t xml:space="preserve">System</t>
  </si>
  <si>
    <t xml:space="preserve">*</t>
  </si>
  <si>
    <t xml:space="preserve">AD_Package_Exp_ID</t>
  </si>
  <si>
    <t xml:space="preserve">Type</t>
  </si>
  <si>
    <t xml:space="preserve">AD_Menu_ID</t>
  </si>
  <si>
    <t xml:space="preserve">AD_Table_ID</t>
  </si>
  <si>
    <t xml:space="preserve">SQLStatement</t>
  </si>
  <si>
    <t xml:space="preserve">M</t>
  </si>
  <si>
    <t xml:space="preserve">New Menu</t>
  </si>
  <si>
    <t xml:space="preserve">Package Exp.</t>
  </si>
  <si>
    <t xml:space="preserve">SELECT * FROM AD_Package_Exp WHERE NAME = '</t>
  </si>
  <si>
    <t xml:space="preserve">‘;AD_Package_Exp_Detail</t>
  </si>
  <si>
    <t xml:space="preserve">D</t>
  </si>
  <si>
    <t xml:space="preserve">blank</t>
  </si>
  <si>
    <t xml:space="preserve">Value</t>
  </si>
  <si>
    <t xml:space="preserve">IsEmployee</t>
  </si>
  <si>
    <t xml:space="preserve">C_BP_Group_ID</t>
  </si>
  <si>
    <t xml:space="preserve">ABU ALIMIN BIN ABU KASSIM</t>
  </si>
  <si>
    <t xml:space="preserve">Employees</t>
  </si>
  <si>
    <t xml:space="preserve">ADRYNNA LAILY BINTI  ARIS AZMIL</t>
  </si>
  <si>
    <t xml:space="preserve">AHMAD ISKANDAR BIN ZAINON</t>
  </si>
  <si>
    <t xml:space="preserve">AHMAD ZARIF MIKHAIL BIN AHMAD ZAKRI</t>
  </si>
  <si>
    <t xml:space="preserve">AINI NATASYA BINTI MAS WIRA</t>
  </si>
  <si>
    <t xml:space="preserve">AKMAL ZAKWAN BIN MOHD ALI</t>
  </si>
  <si>
    <t xml:space="preserve">IRDINA ADLIN BINTI IRWAN ASRAN</t>
  </si>
  <si>
    <t xml:space="preserve">KARTIGA A/P BALAMURLY</t>
  </si>
  <si>
    <t xml:space="preserve">KOSHANRAJ A/L INTHERAN</t>
  </si>
  <si>
    <t xml:space="preserve">MOHAMAD AIMAN NAJMI BIN MOHD ANUAR</t>
  </si>
  <si>
    <t xml:space="preserve">MUHAMAD ADAM DANIAL BIN AZMI</t>
  </si>
  <si>
    <t xml:space="preserve">MUHAMMAD AIMAN AZIZI BIN MOHD AZMAN</t>
  </si>
  <si>
    <t xml:space="preserve">MUHAMMAD AIMAN HAZIQ BIN SULAIMAN</t>
  </si>
  <si>
    <t xml:space="preserve">MUHAMMAD AKMAL ZACKRY BIN ABDUL AZIZ</t>
  </si>
  <si>
    <t xml:space="preserve">MUHAMMAD IKHWAN AIMAN B IRWAN SHAH</t>
  </si>
  <si>
    <t xml:space="preserve">MUHAMMAD NABIL IRFAN BIN MOHD NOR</t>
  </si>
  <si>
    <t xml:space="preserve">MUHAMMAD SAAD BIN ISMAIL</t>
  </si>
  <si>
    <t xml:space="preserve">MUHAMMAD ZAFRAN HAZIQ BIN ZARUL NIZAM</t>
  </si>
  <si>
    <t xml:space="preserve">MURNI ZULAIKA BINTI ZAHARUL ANUAR</t>
  </si>
  <si>
    <t xml:space="preserve">NUR ADRINA SAFIYA BINTI ZULKIFLI</t>
  </si>
  <si>
    <t xml:space="preserve">NUR AFIQAH BINTI ABDUL RALIL</t>
  </si>
  <si>
    <t xml:space="preserve">NUR AMNI FATIHAH BINTI RIDZUAN</t>
  </si>
  <si>
    <t xml:space="preserve">NUR SYAHIRAH BINTI MUNAUWIR</t>
  </si>
  <si>
    <t xml:space="preserve">NUR WARDAH NASUHA BINTI JASMIN</t>
  </si>
  <si>
    <t xml:space="preserve">NURBATRIESYIA BINTI MOHAMED ZAHAMI</t>
  </si>
  <si>
    <t xml:space="preserve">NURUL NAZATUL BALQIS BINTI OTHMAN</t>
  </si>
  <si>
    <t xml:space="preserve">NURUL SHAFINAZ BINTI AZRI</t>
  </si>
  <si>
    <t xml:space="preserve">NUSHANICA A/P SIVA</t>
  </si>
  <si>
    <t xml:space="preserve">PUTERI DARWISYAH BINTI MOHD HEILMY</t>
  </si>
  <si>
    <t xml:space="preserve">UMAIRAH FARZANA BINTI NORASHAZ</t>
  </si>
  <si>
    <t xml:space="preserve">YAAGAVIEE A/P SILVAM</t>
  </si>
  <si>
    <t xml:space="preserve">HR_HumanResourceManagement</t>
  </si>
  <si>
    <t xml:space="preserve">HR_JobDesignation</t>
  </si>
  <si>
    <t xml:space="preserve">HR_Trainer</t>
  </si>
  <si>
    <t xml:space="preserve">HR_Rank</t>
  </si>
  <si>
    <t xml:space="preserve">HR_TrainingCourse</t>
  </si>
  <si>
    <t xml:space="preserve">HR_ManpowerRequirement</t>
  </si>
  <si>
    <t xml:space="preserve">HR_ProjectTaskForce</t>
  </si>
  <si>
    <t xml:space="preserve">HR_EmployeeProvidentFund</t>
  </si>
  <si>
    <t xml:space="preserve">HR_Employment</t>
  </si>
  <si>
    <t xml:space="preserve">HR_EmploymentHistory</t>
  </si>
  <si>
    <t xml:space="preserve">HR_MedicalHIstory</t>
  </si>
  <si>
    <t xml:space="preserve">HR_Payroll</t>
  </si>
  <si>
    <t xml:space="preserve">HR_PayrollDetails</t>
  </si>
  <si>
    <t xml:space="preserve">HR_FamilyMembers</t>
  </si>
  <si>
    <t xml:space="preserve">HR_Appraisal</t>
  </si>
  <si>
    <t xml:space="preserve">HR_Training</t>
  </si>
  <si>
    <t xml:space="preserve">HR_LeaveApplication</t>
  </si>
  <si>
    <t xml:space="preserve">HR_AssistanceRequest</t>
  </si>
  <si>
    <t xml:space="preserve">PayrollCode</t>
  </si>
  <si>
    <t xml:space="preserve">C_Bpartner_ID</t>
  </si>
  <si>
    <t xml:space="preserve">Q#Earnings</t>
  </si>
  <si>
    <t xml:space="preserve">C_Bpartner_Location_ID</t>
  </si>
  <si>
    <t xml:space="preserve">Before</t>
  </si>
  <si>
    <t xml:space="preserve">C_Project_ID</t>
  </si>
  <si>
    <t xml:space="preserve">MedicalTest</t>
  </si>
  <si>
    <t xml:space="preserve">Q#Deductions</t>
  </si>
  <si>
    <t xml:space="preserve">DateTaken</t>
  </si>
  <si>
    <t xml:space="preserve">DateRequested</t>
  </si>
  <si>
    <t xml:space="preserve">AD_ClientInfo</t>
  </si>
  <si>
    <t xml:space="preserve">C_Location_ID</t>
  </si>
  <si>
    <t xml:space="preserve">After</t>
  </si>
  <si>
    <t xml:space="preserve">QtyOnHand</t>
  </si>
  <si>
    <t xml:space="preserve">C_Campaign_ID</t>
  </si>
  <si>
    <t xml:space="preserve">AccountNote</t>
  </si>
  <si>
    <t xml:space="preserve">Treatment</t>
  </si>
  <si>
    <t xml:space="preserve">Paid</t>
  </si>
  <si>
    <t xml:space="preserve">LineNetAmt</t>
  </si>
  <si>
    <t xml:space="preserve">Relationship</t>
  </si>
  <si>
    <t xml:space="preserve">DateStart</t>
  </si>
  <si>
    <t xml:space="preserve">R_RequestType_ID</t>
  </si>
  <si>
    <t xml:space="preserve">Training</t>
  </si>
  <si>
    <t xml:space="preserve">Title</t>
  </si>
  <si>
    <t xml:space="preserve">QtyNeeded</t>
  </si>
  <si>
    <t xml:space="preserve">EPFNote</t>
  </si>
  <si>
    <t xml:space="preserve">AD_User_ID</t>
  </si>
  <si>
    <t xml:space="preserve">Diagnosis</t>
  </si>
  <si>
    <t xml:space="preserve">C_Period_ID</t>
  </si>
  <si>
    <t xml:space="preserve">Remarks</t>
  </si>
  <si>
    <t xml:space="preserve">ContactNo</t>
  </si>
  <si>
    <t xml:space="preserve">T#ExpertAnalysis</t>
  </si>
  <si>
    <t xml:space="preserve">DateEnd</t>
  </si>
  <si>
    <t xml:space="preserve">Amount</t>
  </si>
  <si>
    <t xml:space="preserve">Experience</t>
  </si>
  <si>
    <t xml:space="preserve">Prerequisite</t>
  </si>
  <si>
    <t xml:space="preserve">DateDone</t>
  </si>
  <si>
    <t xml:space="preserve">ChequeNo</t>
  </si>
  <si>
    <t xml:space="preserve">Approved</t>
  </si>
  <si>
    <t xml:space="preserve">QtyPersonnel</t>
  </si>
  <si>
    <t xml:space="preserve">Admission</t>
  </si>
  <si>
    <t xml:space="preserve">Y#NextOfKin</t>
  </si>
  <si>
    <t xml:space="preserve">Y#Promoted</t>
  </si>
  <si>
    <t xml:space="preserve">Doctor</t>
  </si>
  <si>
    <t xml:space="preserve">QtyIncrement</t>
  </si>
  <si>
    <t xml:space="preserve">Position</t>
  </si>
  <si>
    <t xml:space="preserve">GrandTotal</t>
  </si>
  <si>
    <t xml:space="preserve">T#Remarks</t>
  </si>
  <si>
    <t xml:space="preserve">Qualified</t>
  </si>
  <si>
    <t xml:space="preserve">Period</t>
  </si>
  <si>
    <t xml:space="preserve">Contact</t>
  </si>
  <si>
    <t xml:space="preserve">Surgery</t>
  </si>
  <si>
    <t xml:space="preserve">DateIssued</t>
  </si>
  <si>
    <t xml:space="preserve">Memo</t>
  </si>
  <si>
    <t xml:space="preserve">R_Request_ID</t>
  </si>
  <si>
    <t xml:space="preserve">T#ExitInterview</t>
  </si>
  <si>
    <t xml:space="preserve">Allergy</t>
  </si>
  <si>
    <t xml:space="preserve">DatePayment</t>
  </si>
  <si>
    <t xml:space="preserve">Substitute</t>
  </si>
  <si>
    <t xml:space="preserve">Result</t>
  </si>
  <si>
    <t xml:space="preserve">Q#BasicPay</t>
  </si>
  <si>
    <t xml:space="preserve">BasicPay</t>
  </si>
  <si>
    <t xml:space="preserve">Price</t>
  </si>
  <si>
    <t xml:space="preserve">C_Invoice_ID</t>
  </si>
  <si>
    <t xml:space="preserve">HospitalClinic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</si>
</sst>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2"/>
      <name val="Verdan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Verdana"/>
      <family val="0"/>
    </font>
    <font>
      <sz val="18"/>
      <color rgb="FF000000"/>
      <name val="Verdana"/>
      <family val="0"/>
    </font>
    <font>
      <sz val="12"/>
      <color rgb="FF000000"/>
      <name val="Verdana"/>
      <family val="0"/>
    </font>
    <font>
      <sz val="10"/>
      <color rgb="FF333333"/>
      <name val="Verdana"/>
      <family val="0"/>
    </font>
    <font>
      <i val="true"/>
      <sz val="10"/>
      <color rgb="FF808080"/>
      <name val="Verdana"/>
      <family val="0"/>
    </font>
    <font>
      <u val="single"/>
      <sz val="10"/>
      <color rgb="FF0000EE"/>
      <name val="Verdana"/>
      <family val="0"/>
    </font>
    <font>
      <sz val="10"/>
      <color rgb="FF006600"/>
      <name val="Verdana"/>
      <family val="0"/>
    </font>
    <font>
      <sz val="10"/>
      <color rgb="FF996600"/>
      <name val="Verdana"/>
      <family val="0"/>
    </font>
    <font>
      <sz val="10"/>
      <color rgb="FFCC0000"/>
      <name val="Verdana"/>
      <family val="0"/>
    </font>
    <font>
      <b val="true"/>
      <sz val="10"/>
      <color rgb="FFFFFFFF"/>
      <name val="Verdana"/>
      <family val="0"/>
    </font>
    <font>
      <b val="true"/>
      <sz val="10"/>
      <color rgb="FF000000"/>
      <name val="Verdana"/>
      <family val="0"/>
    </font>
    <font>
      <sz val="10"/>
      <color rgb="FFFFFFFF"/>
      <name val="Verdana"/>
      <family val="0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sz val="10"/>
      <color rgb="FF999999"/>
      <name val="Arial"/>
      <family val="2"/>
    </font>
    <font>
      <vertAlign val="superscript"/>
      <sz val="10"/>
      <color rgb="FF000000"/>
      <name val="Arial"/>
      <family val="2"/>
    </font>
    <font>
      <b val="true"/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</font>
    <font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99999"/>
      </patternFill>
    </fill>
    <fill>
      <patternFill patternType="solid">
        <fgColor rgb="FFDDDDDD"/>
        <bgColor rgb="FFFFCCCC"/>
      </patternFill>
    </fill>
    <fill>
      <patternFill patternType="solid">
        <fgColor rgb="FFFFFF6D"/>
        <bgColor rgb="FFFFFFCC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37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top" textRotation="0" wrapText="true" indent="0" shrinkToFit="false"/>
    </xf>
    <xf numFmtId="164" fontId="5" fillId="0" borderId="0" applyFont="true" applyBorder="false" applyAlignment="true" applyProtection="false">
      <alignment horizontal="general" vertical="top" textRotation="0" wrapText="true" indent="0" shrinkToFit="false"/>
    </xf>
    <xf numFmtId="164" fontId="6" fillId="0" borderId="0" applyFont="true" applyBorder="false" applyAlignment="true" applyProtection="false">
      <alignment horizontal="general" vertical="top" textRotation="0" wrapText="true" indent="0" shrinkToFit="false"/>
    </xf>
    <xf numFmtId="164" fontId="0" fillId="0" borderId="0" applyFont="true" applyBorder="false" applyAlignment="true" applyProtection="false">
      <alignment horizontal="general" vertical="top" textRotation="0" wrapText="true" indent="0" shrinkToFit="false"/>
    </xf>
    <xf numFmtId="164" fontId="7" fillId="2" borderId="1" applyFont="true" applyBorder="true" applyAlignment="true" applyProtection="false">
      <alignment horizontal="general" vertical="top" textRotation="0" wrapText="true" indent="0" shrinkToFit="false"/>
    </xf>
    <xf numFmtId="164" fontId="8" fillId="0" borderId="0" applyFont="true" applyBorder="false" applyAlignment="true" applyProtection="false">
      <alignment horizontal="general" vertical="top" textRotation="0" wrapText="true" indent="0" shrinkToFit="false"/>
    </xf>
    <xf numFmtId="164" fontId="9" fillId="0" borderId="0" applyFont="true" applyBorder="false" applyAlignment="true" applyProtection="false">
      <alignment horizontal="general" vertical="top" textRotation="0" wrapText="true" indent="0" shrinkToFit="false"/>
    </xf>
    <xf numFmtId="164" fontId="0" fillId="0" borderId="0" applyFont="true" applyBorder="false" applyAlignment="true" applyProtection="false">
      <alignment horizontal="general" vertical="top" textRotation="0" wrapText="true" indent="0" shrinkToFit="false"/>
    </xf>
    <xf numFmtId="164" fontId="10" fillId="3" borderId="0" applyFont="true" applyBorder="false" applyAlignment="true" applyProtection="false">
      <alignment horizontal="general" vertical="top" textRotation="0" wrapText="true" indent="0" shrinkToFit="false"/>
    </xf>
    <xf numFmtId="164" fontId="11" fillId="2" borderId="0" applyFont="true" applyBorder="false" applyAlignment="true" applyProtection="false">
      <alignment horizontal="general" vertical="top" textRotation="0" wrapText="true" indent="0" shrinkToFit="false"/>
    </xf>
    <xf numFmtId="164" fontId="12" fillId="4" borderId="0" applyFont="true" applyBorder="false" applyAlignment="true" applyProtection="false">
      <alignment horizontal="general" vertical="top" textRotation="0" wrapText="true" indent="0" shrinkToFit="false"/>
    </xf>
    <xf numFmtId="164" fontId="12" fillId="0" borderId="0" applyFont="true" applyBorder="false" applyAlignment="true" applyProtection="false">
      <alignment horizontal="general" vertical="top" textRotation="0" wrapText="true" indent="0" shrinkToFit="false"/>
    </xf>
    <xf numFmtId="164" fontId="13" fillId="5" borderId="0" applyFont="true" applyBorder="false" applyAlignment="true" applyProtection="false">
      <alignment horizontal="general" vertical="top" textRotation="0" wrapText="true" indent="0" shrinkToFit="false"/>
    </xf>
    <xf numFmtId="164" fontId="14" fillId="0" borderId="0" applyFont="true" applyBorder="false" applyAlignment="true" applyProtection="false">
      <alignment horizontal="general" vertical="top" textRotation="0" wrapText="true" indent="0" shrinkToFit="false"/>
    </xf>
    <xf numFmtId="164" fontId="15" fillId="6" borderId="0" applyFont="true" applyBorder="false" applyAlignment="true" applyProtection="false">
      <alignment horizontal="general" vertical="top" textRotation="0" wrapText="true" indent="0" shrinkToFit="false"/>
    </xf>
    <xf numFmtId="164" fontId="15" fillId="7" borderId="0" applyFont="true" applyBorder="false" applyAlignment="true" applyProtection="false">
      <alignment horizontal="general" vertical="top" textRotation="0" wrapText="true" indent="0" shrinkToFit="false"/>
    </xf>
    <xf numFmtId="164" fontId="14" fillId="8" borderId="0" applyFont="true" applyBorder="false" applyAlignment="true" applyProtection="false">
      <alignment horizontal="general" vertical="top" textRotation="0" wrapText="tru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top" textRotation="0" wrapText="tru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top" textRotation="0" wrapText="tru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top" textRotation="0" wrapText="true" indent="0" shrinkToFit="false"/>
      <protection locked="true" hidden="false"/>
    </xf>
    <xf numFmtId="164" fontId="16" fillId="9" borderId="2" xfId="0" applyFont="true" applyBorder="true" applyAlignment="false" applyProtection="false">
      <alignment horizontal="general" vertical="top" textRotation="0" wrapText="tru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top" textRotation="0" wrapText="true" indent="0" shrinkToFit="false"/>
      <protection locked="true" hidden="false"/>
    </xf>
    <xf numFmtId="164" fontId="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0" fillId="1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22" fillId="1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1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" fillId="1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top" textRotation="0" wrapText="true" indent="0" shrinkToFit="false"/>
      <protection locked="true" hidden="false"/>
    </xf>
    <xf numFmtId="164" fontId="22" fillId="0" borderId="2" xfId="0" applyFont="true" applyBorder="true" applyAlignment="false" applyProtection="false">
      <alignment horizontal="general" vertical="top" textRotation="0" wrapText="true" indent="0" shrinkToFit="false"/>
      <protection locked="true" hidden="false"/>
    </xf>
    <xf numFmtId="164" fontId="22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top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11" activeCellId="0" sqref="E11"/>
    </sheetView>
  </sheetViews>
  <sheetFormatPr defaultRowHeight="12.8" zeroHeight="false" outlineLevelRow="0" outlineLevelCol="0"/>
  <cols>
    <col collapsed="false" customWidth="true" hidden="false" outlineLevel="0" max="1" min="1" style="1" width="11.15"/>
    <col collapsed="false" customWidth="true" hidden="false" outlineLevel="0" max="2" min="2" style="1" width="18.95"/>
    <col collapsed="false" customWidth="true" hidden="false" outlineLevel="0" max="3" min="3" style="1" width="14.9"/>
    <col collapsed="false" customWidth="true" hidden="false" outlineLevel="0" max="4" min="4" style="1" width="11.54"/>
    <col collapsed="false" customWidth="true" hidden="false" outlineLevel="0" max="7" min="5" style="1" width="8.88"/>
    <col collapsed="false" customWidth="false" hidden="false" outlineLevel="0" max="8" min="8" style="1" width="11.35"/>
    <col collapsed="false" customWidth="true" hidden="false" outlineLevel="0" max="1025" min="9" style="1" width="8.36"/>
  </cols>
  <sheetData>
    <row r="1" s="2" customFormat="true" ht="19.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2</v>
      </c>
      <c r="G1" s="2" t="s">
        <v>3</v>
      </c>
      <c r="J1" s="2" t="s">
        <v>4</v>
      </c>
    </row>
    <row r="2" s="3" customFormat="true" ht="39.55" hidden="false" customHeight="true" outlineLevel="0" collapsed="false">
      <c r="A2" s="3" t="s">
        <v>5</v>
      </c>
      <c r="B2" s="3" t="str">
        <f aca="false">B3&amp;B4&amp;B5&amp;B6</f>
        <v>L#Qualification=Phd/Masters/Bachelor/Diploma/Certificate</v>
      </c>
      <c r="C2" s="3" t="str">
        <f aca="false">C3&amp;C4&amp;C5&amp;C6</f>
        <v>L#ContractType=Permanent/Contract/Temporary/OneTime/Impromptu</v>
      </c>
      <c r="D2" s="3" t="str">
        <f aca="false">D3&amp;D4&amp;D5&amp;D6</f>
        <v>L#PaidBy=Hourly/Daily/Monthly/Project/Adhoc</v>
      </c>
      <c r="E2" s="3" t="str">
        <f aca="false">E3&amp;E4&amp;E5&amp;E6</f>
        <v>L#TrainingType=InHouse/Outsourced/Academy/Adhoc</v>
      </c>
      <c r="F2" s="3" t="str">
        <f aca="false">F3&amp;F4&amp;F5&amp;F6</f>
        <v>L#Performance=Excellent/Good/Fair/Poor</v>
      </c>
      <c r="G2" s="3" t="str">
        <f aca="false">G3&amp;G4&amp;G5</f>
        <v>Y#Certified</v>
      </c>
      <c r="H2" s="3" t="str">
        <f aca="false">H3&amp;H4&amp;H5</f>
        <v>Y#YearsExperience</v>
      </c>
      <c r="I2" s="3" t="str">
        <f aca="false">I3&amp;I4&amp;I5</f>
        <v>Y#Registered</v>
      </c>
      <c r="J2" s="3" t="str">
        <f aca="false">J3&amp;J4&amp;J5</f>
        <v>Q#NoOfDays</v>
      </c>
      <c r="K2" s="3" t="str">
        <f aca="false">K3&amp;K4&amp;K5</f>
        <v>Q#NoOfHours</v>
      </c>
    </row>
    <row r="3" s="3" customFormat="true" ht="12.8" hidden="false" customHeight="false" outlineLevel="0" collapsed="false">
      <c r="A3" s="3" t="s">
        <v>6</v>
      </c>
      <c r="B3" s="3" t="s">
        <v>7</v>
      </c>
      <c r="C3" s="4" t="s">
        <v>7</v>
      </c>
      <c r="D3" s="3" t="s">
        <v>7</v>
      </c>
      <c r="E3" s="3" t="s">
        <v>7</v>
      </c>
      <c r="F3" s="3" t="s">
        <v>7</v>
      </c>
      <c r="G3" s="3" t="s">
        <v>8</v>
      </c>
      <c r="H3" s="3" t="s">
        <v>8</v>
      </c>
      <c r="I3" s="3" t="str">
        <f aca="false">H3</f>
        <v>Y#</v>
      </c>
      <c r="J3" s="3" t="s">
        <v>9</v>
      </c>
      <c r="K3" s="3" t="s">
        <v>9</v>
      </c>
    </row>
    <row r="4" s="6" customFormat="true" ht="21.6" hidden="false" customHeight="true" outlineLevel="0" collapsed="false">
      <c r="A4" s="1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  <c r="K4" s="5" t="s">
        <v>20</v>
      </c>
    </row>
    <row r="5" customFormat="false" ht="12.8" hidden="false" customHeight="false" outlineLevel="0" collapsed="false">
      <c r="B5" s="1" t="str">
        <f aca="false">"="</f>
        <v>=</v>
      </c>
      <c r="C5" s="1" t="str">
        <f aca="false">"="</f>
        <v>=</v>
      </c>
      <c r="D5" s="1" t="str">
        <f aca="false">"="</f>
        <v>=</v>
      </c>
      <c r="E5" s="1" t="str">
        <f aca="false">"="</f>
        <v>=</v>
      </c>
      <c r="F5" s="1" t="str">
        <f aca="false">"="</f>
        <v>=</v>
      </c>
    </row>
    <row r="6" s="4" customFormat="true" ht="46.25" hidden="false" customHeight="false" outlineLevel="0" collapsed="false">
      <c r="A6" s="4" t="s">
        <v>21</v>
      </c>
      <c r="B6" s="4" t="str">
        <f aca="false">_xlfn.TEXTJOIN("/", ,B7:B11)</f>
        <v>Phd/Masters/Bachelor/Diploma/Certificate</v>
      </c>
      <c r="C6" s="4" t="str">
        <f aca="false">_xlfn.TEXTJOIN("/", ,C7:C11)</f>
        <v>Permanent/Contract/Temporary/OneTime/Impromptu</v>
      </c>
      <c r="D6" s="4" t="str">
        <f aca="false">_xlfn.TEXTJOIN("/", ,D7:D11)</f>
        <v>Hourly/Daily/Monthly/Project/Adhoc</v>
      </c>
      <c r="E6" s="4" t="str">
        <f aca="false">_xlfn.TEXTJOIN("/", ,E7:E10)</f>
        <v>InHouse/Outsourced/Academy/Adhoc</v>
      </c>
      <c r="F6" s="4" t="str">
        <f aca="false">_xlfn.TEXTJOIN("/", ,F7:F10)</f>
        <v>Excellent/Good/Fair/Poor</v>
      </c>
    </row>
    <row r="7" customFormat="false" ht="13.4" hidden="false" customHeight="false" outlineLevel="0" collapsed="false">
      <c r="A7" s="1" t="s">
        <v>22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</row>
    <row r="8" customFormat="false" ht="13.4" hidden="false" customHeight="false" outlineLevel="0" collapsed="false">
      <c r="A8" s="1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</row>
    <row r="9" customFormat="false" ht="13.4" hidden="false" customHeight="false" outlineLevel="0" collapsed="false">
      <c r="A9" s="1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</row>
    <row r="10" customFormat="false" ht="13.4" hidden="false" customHeight="false" outlineLevel="0" collapsed="false">
      <c r="A10" s="1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45</v>
      </c>
    </row>
    <row r="11" customFormat="false" ht="13.4" hidden="false" customHeight="false" outlineLevel="0" collapsed="false">
      <c r="A11" s="1" t="s">
        <v>46</v>
      </c>
      <c r="B11" s="5" t="s">
        <v>47</v>
      </c>
      <c r="C11" s="5" t="s">
        <v>48</v>
      </c>
      <c r="D11" s="5" t="s">
        <v>44</v>
      </c>
      <c r="E11" s="5" t="s">
        <v>49</v>
      </c>
      <c r="F11" s="5"/>
    </row>
    <row r="12" customFormat="false" ht="12.8" hidden="false" customHeight="false" outlineLevel="0" collapsed="false">
      <c r="B12" s="6"/>
      <c r="C12" s="6"/>
      <c r="D12" s="6"/>
      <c r="E12" s="6"/>
      <c r="F12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B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2" activeCellId="0" sqref="A2"/>
    </sheetView>
  </sheetViews>
  <sheetFormatPr defaultRowHeight="15" zeroHeight="false" outlineLevelRow="0" outlineLevelCol="0"/>
  <cols>
    <col collapsed="false" customWidth="true" hidden="false" outlineLevel="0" max="255" min="1" style="7" width="12.25"/>
    <col collapsed="false" customWidth="true" hidden="false" outlineLevel="0" max="1025" min="256" style="0" width="12.25"/>
  </cols>
  <sheetData>
    <row r="1" customFormat="false" ht="20.55" hidden="false" customHeight="true" outlineLevel="0" collapsed="false">
      <c r="A1" s="8" t="s">
        <v>10</v>
      </c>
      <c r="B1" s="8" t="s">
        <v>50</v>
      </c>
    </row>
    <row r="2" customFormat="false" ht="20.55" hidden="false" customHeight="true" outlineLevel="0" collapsed="false">
      <c r="A2" s="8" t="s">
        <v>51</v>
      </c>
      <c r="B2" s="9" t="n">
        <v>1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&amp;L&amp;"Arial,Regular"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E22" activeCellId="0" sqref="E22"/>
    </sheetView>
  </sheetViews>
  <sheetFormatPr defaultRowHeight="12.8" zeroHeight="false" outlineLevelRow="0" outlineLevelCol="0"/>
  <cols>
    <col collapsed="false" customWidth="true" hidden="false" outlineLevel="0" max="1" min="1" style="10" width="8.51"/>
    <col collapsed="false" customWidth="true" hidden="false" outlineLevel="0" max="2" min="2" style="10" width="3.53"/>
    <col collapsed="false" customWidth="true" hidden="false" outlineLevel="0" max="3" min="3" style="10" width="13.32"/>
    <col collapsed="false" customWidth="true" hidden="false" outlineLevel="0" max="4" min="4" style="10" width="5.55"/>
    <col collapsed="false" customWidth="true" hidden="false" outlineLevel="0" max="5" min="5" style="10" width="11.54"/>
    <col collapsed="false" customWidth="true" hidden="false" outlineLevel="0" max="6" min="6" style="10" width="13.03"/>
    <col collapsed="false" customWidth="true" hidden="false" outlineLevel="0" max="7" min="7" style="10" width="14.31"/>
    <col collapsed="false" customWidth="true" hidden="false" outlineLevel="0" max="8" min="8" style="10" width="49.25"/>
    <col collapsed="false" customWidth="true" hidden="false" outlineLevel="0" max="255" min="9" style="10" width="12.25"/>
    <col collapsed="false" customWidth="true" hidden="false" outlineLevel="0" max="1025" min="256" style="11" width="12.25"/>
  </cols>
  <sheetData>
    <row r="1" customFormat="false" ht="32.55" hidden="false" customHeight="true" outlineLevel="0" collapsed="false">
      <c r="A1" s="12" t="s">
        <v>52</v>
      </c>
      <c r="B1" s="12" t="s">
        <v>53</v>
      </c>
      <c r="C1" s="12" t="s">
        <v>54</v>
      </c>
      <c r="D1" s="12" t="s">
        <v>55</v>
      </c>
      <c r="E1" s="12" t="s">
        <v>56</v>
      </c>
      <c r="F1" s="12" t="s">
        <v>10</v>
      </c>
      <c r="G1" s="12" t="s">
        <v>57</v>
      </c>
      <c r="H1" s="12" t="s">
        <v>58</v>
      </c>
    </row>
    <row r="2" customFormat="false" ht="70.1" hidden="false" customHeight="true" outlineLevel="0" collapsed="false">
      <c r="A2" s="13" t="s">
        <v>51</v>
      </c>
      <c r="B2" s="13" t="n">
        <v>1</v>
      </c>
      <c r="C2" s="14" t="s">
        <v>59</v>
      </c>
      <c r="D2" s="13" t="s">
        <v>59</v>
      </c>
      <c r="E2" s="13"/>
      <c r="F2" s="13" t="s">
        <v>60</v>
      </c>
      <c r="G2" s="13" t="s">
        <v>61</v>
      </c>
      <c r="H2" s="13" t="str">
        <f aca="false">_xlfn.TEXTJOIN(",",,DataTypeMaker!B2:T2)</f>
        <v>L#Qualification=Phd/Masters/Bachelor/Diploma/Certificate,L#ContractType=Permanent/Contract/Temporary/OneTime/Impromptu,L#PaidBy=Hourly/Daily/Monthly/Project/Adhoc,L#TrainingType=InHouse/Outsourced/Academy/Adhoc,L#Performance=Excellent/Good/Fair/Poor,Y#Certified,Y#YearsExperience,Y#Registered,Q#NoOfDays,Q#NoOfHours,,,,,,,,,</v>
      </c>
    </row>
    <row r="3" customFormat="false" ht="32.55" hidden="false" customHeight="true" outlineLevel="0" collapsed="false">
      <c r="A3" s="12" t="s">
        <v>51</v>
      </c>
      <c r="B3" s="12" t="n">
        <v>2</v>
      </c>
      <c r="C3" s="14" t="s">
        <v>59</v>
      </c>
      <c r="D3" s="14" t="s">
        <v>59</v>
      </c>
      <c r="E3" s="14"/>
      <c r="F3" s="14" t="str">
        <f aca="false">ModelMakerSource!A2</f>
        <v>HR_HumanResourceManagement</v>
      </c>
      <c r="G3" s="14" t="s">
        <v>62</v>
      </c>
      <c r="H3" s="14" t="str">
        <f aca="false">_xlfn.TEXTJOIN(",",,ModelMakerSource!A3:A6)</f>
        <v>Name,C_Bpartner_ID,C_Bpartner_Location_ID,AD_ClientInfo</v>
      </c>
    </row>
    <row r="4" customFormat="false" ht="32.55" hidden="false" customHeight="true" outlineLevel="0" collapsed="false">
      <c r="A4" s="12" t="s">
        <v>51</v>
      </c>
      <c r="B4" s="12" t="n">
        <v>3</v>
      </c>
      <c r="C4" s="14" t="s">
        <v>59</v>
      </c>
      <c r="D4" s="14" t="s">
        <v>59</v>
      </c>
      <c r="E4" s="14" t="str">
        <f aca="false">ModelMakerSource!B1</f>
        <v>HR_HumanResourceManagement</v>
      </c>
      <c r="F4" s="14" t="str">
        <f aca="false">ModelMakerSource!B2</f>
        <v>HR_JobDesignation</v>
      </c>
      <c r="G4" s="14" t="s">
        <v>63</v>
      </c>
      <c r="H4" s="14" t="str">
        <f aca="false">_xlfn.TEXTJOIN(",",,ModelMakerSource!B3:B10)</f>
        <v>Name,Description,Qualification,YearsExperience,Training,Experience,AD_User_ID,</v>
      </c>
    </row>
    <row r="5" customFormat="false" ht="32.55" hidden="false" customHeight="true" outlineLevel="0" collapsed="false">
      <c r="A5" s="12" t="s">
        <v>51</v>
      </c>
      <c r="B5" s="12" t="n">
        <v>4</v>
      </c>
      <c r="C5" s="14" t="s">
        <v>59</v>
      </c>
      <c r="D5" s="14" t="s">
        <v>59</v>
      </c>
      <c r="E5" s="14" t="str">
        <f aca="false">ModelMakerSource!C1</f>
        <v>HR_HumanResourceManagement</v>
      </c>
      <c r="F5" s="14" t="str">
        <f aca="false">ModelMakerSource!C2</f>
        <v>HR_Trainer</v>
      </c>
      <c r="G5" s="14" t="s">
        <v>64</v>
      </c>
      <c r="H5" s="14" t="str">
        <f aca="false">_xlfn.TEXTJOIN(",",,ModelMakerSource!C3:C9)</f>
        <v>Name,C_Bpartner_ID,Description,C_Location_ID,Registered,,</v>
      </c>
    </row>
    <row r="6" customFormat="false" ht="32.55" hidden="false" customHeight="true" outlineLevel="0" collapsed="false">
      <c r="A6" s="12" t="s">
        <v>51</v>
      </c>
      <c r="B6" s="12" t="n">
        <v>5</v>
      </c>
      <c r="C6" s="14" t="s">
        <v>59</v>
      </c>
      <c r="D6" s="14" t="s">
        <v>59</v>
      </c>
      <c r="E6" s="14" t="str">
        <f aca="false">ModelMakerSource!D1</f>
        <v>HR_HumanResourceManagement</v>
      </c>
      <c r="F6" s="14" t="str">
        <f aca="false">ModelMakerSource!D2</f>
        <v>HR_Rank</v>
      </c>
      <c r="G6" s="14" t="s">
        <v>65</v>
      </c>
      <c r="H6" s="14" t="str">
        <f aca="false">_xlfn.TEXTJOIN(",",,ModelMakerSource!D3:D10)</f>
        <v>Name,Description,Before,After,Title,Prerequisite,,</v>
      </c>
    </row>
    <row r="7" customFormat="false" ht="32.55" hidden="false" customHeight="true" outlineLevel="0" collapsed="false">
      <c r="A7" s="12" t="s">
        <v>51</v>
      </c>
      <c r="B7" s="12" t="n">
        <v>6</v>
      </c>
      <c r="C7" s="14" t="s">
        <v>59</v>
      </c>
      <c r="D7" s="14" t="s">
        <v>59</v>
      </c>
      <c r="E7" s="14" t="str">
        <f aca="false">ModelMakerSource!E1</f>
        <v>HR_HumanResourceManagement</v>
      </c>
      <c r="F7" s="14" t="str">
        <f aca="false">ModelMakerSource!E2</f>
        <v>HR_TrainingCourse</v>
      </c>
      <c r="G7" s="14" t="s">
        <v>66</v>
      </c>
      <c r="H7" s="14" t="str">
        <f aca="false">_xlfn.TEXTJOIN(",",,ModelMakerSource!E3:E10)</f>
        <v>Name,Description,HR_Trainer_ID,TrainingType,Certified,Qualification,Registered,</v>
      </c>
    </row>
    <row r="8" customFormat="false" ht="32.55" hidden="false" customHeight="true" outlineLevel="0" collapsed="false">
      <c r="A8" s="12" t="s">
        <v>51</v>
      </c>
      <c r="B8" s="12" t="n">
        <v>7</v>
      </c>
      <c r="C8" s="14" t="s">
        <v>59</v>
      </c>
      <c r="D8" s="14" t="s">
        <v>59</v>
      </c>
      <c r="E8" s="14" t="str">
        <f aca="false">ModelMakerSource!F1</f>
        <v>HR_HumanResourceManagement</v>
      </c>
      <c r="F8" s="14" t="str">
        <f aca="false">ModelMakerSource!F2</f>
        <v>HR_ManpowerRequirement</v>
      </c>
      <c r="G8" s="14" t="s">
        <v>67</v>
      </c>
      <c r="H8" s="14" t="str">
        <f aca="false">_xlfn.TEXTJOIN(",",,ModelMakerSource!F3:F10)</f>
        <v>Name,Description,HR_JobDesignation,QtyOnHand,QtyNeeded,DateStart,DateEnd,</v>
      </c>
    </row>
    <row r="9" customFormat="false" ht="32.55" hidden="false" customHeight="true" outlineLevel="0" collapsed="false">
      <c r="A9" s="12" t="s">
        <v>51</v>
      </c>
      <c r="B9" s="12" t="n">
        <v>8</v>
      </c>
      <c r="C9" s="14" t="s">
        <v>59</v>
      </c>
      <c r="D9" s="14" t="s">
        <v>59</v>
      </c>
      <c r="E9" s="14" t="str">
        <f aca="false">ModelMakerSource!G1</f>
        <v>HR_HumanResourceManagement</v>
      </c>
      <c r="F9" s="14" t="str">
        <f aca="false">ModelMakerSource!G2</f>
        <v>HR_ProjectTaskForce</v>
      </c>
      <c r="G9" s="14" t="s">
        <v>66</v>
      </c>
      <c r="H9" s="14" t="str">
        <f aca="false">_xlfn.TEXTJOIN(",",,ModelMakerSource!G3:G10)</f>
        <v>Name,Description,C_Project_ID,C_Campaign_ID,DateStart,DateEnd,QtyPersonnel,</v>
      </c>
    </row>
    <row r="10" customFormat="false" ht="32.55" hidden="false" customHeight="true" outlineLevel="0" collapsed="false">
      <c r="A10" s="12" t="s">
        <v>51</v>
      </c>
      <c r="B10" s="12" t="n">
        <v>9</v>
      </c>
      <c r="C10" s="14" t="s">
        <v>59</v>
      </c>
      <c r="D10" s="14" t="s">
        <v>59</v>
      </c>
      <c r="E10" s="14" t="str">
        <f aca="false">ModelMakerSource!H1</f>
        <v>HR_HumanResourceManagement</v>
      </c>
      <c r="F10" s="14" t="str">
        <f aca="false">ModelMakerSource!H2</f>
        <v>HR_EmployeeProvidentFund</v>
      </c>
      <c r="G10" s="14" t="s">
        <v>67</v>
      </c>
      <c r="H10" s="14" t="str">
        <f aca="false">_xlfn.TEXTJOIN(",",,ModelMakerSource!H3:H10)</f>
        <v>Name,Value,C_BPartner_ID,AccountNote,EPFNote,,,</v>
      </c>
    </row>
    <row r="11" customFormat="false" ht="52.2" hidden="false" customHeight="true" outlineLevel="0" collapsed="false">
      <c r="A11" s="12" t="s">
        <v>51</v>
      </c>
      <c r="B11" s="12" t="n">
        <v>10</v>
      </c>
      <c r="C11" s="14" t="s">
        <v>59</v>
      </c>
      <c r="D11" s="14" t="s">
        <v>59</v>
      </c>
      <c r="E11" s="15"/>
      <c r="F11" s="14" t="str">
        <f aca="false">ModelMakerSource!I2</f>
        <v>HR_Employment</v>
      </c>
      <c r="G11" s="14" t="s">
        <v>68</v>
      </c>
      <c r="H11" s="14" t="str">
        <f aca="false">_xlfn.TEXTJOIN(",",,ModelMakerSource!I4:I18)</f>
        <v>C_BPartner_ID,Description,ContractType,PaidBy,AD_User_ID,DateStart,C_BPartner_ID,HR_JobDesignation_ID,Position,Contact,Q#BasicPay,HR_Rank_ID,HR_EmployeeProvidentFund_ID,,</v>
      </c>
    </row>
    <row r="12" customFormat="false" ht="32.55" hidden="false" customHeight="true" outlineLevel="0" collapsed="false">
      <c r="A12" s="12" t="s">
        <v>51</v>
      </c>
      <c r="B12" s="12" t="n">
        <v>11</v>
      </c>
      <c r="C12" s="14" t="s">
        <v>59</v>
      </c>
      <c r="D12" s="14" t="s">
        <v>59</v>
      </c>
      <c r="E12" s="14" t="str">
        <f aca="false">ModelMakerSource!J1</f>
        <v>HR_Employment</v>
      </c>
      <c r="F12" s="14" t="str">
        <f aca="false">ModelMakerSource!J2</f>
        <v>HR_EmploymentHistory</v>
      </c>
      <c r="G12" s="14" t="s">
        <v>69</v>
      </c>
      <c r="H12" s="14" t="str">
        <f aca="false">_xlfn.TEXTJOIN(",",,ModelMakerSource!J3:J17)</f>
        <v>Name,Description,ContractType,PaidBy,AD_User_ID,DateStart,DateEnd,HR_JobDesignation_ID,Position,Contact,T#ExitInterview,BasicPay,HR_Rank_ID,,</v>
      </c>
    </row>
    <row r="13" customFormat="false" ht="32.55" hidden="false" customHeight="true" outlineLevel="0" collapsed="false">
      <c r="A13" s="12" t="s">
        <v>51</v>
      </c>
      <c r="B13" s="12" t="n">
        <v>12</v>
      </c>
      <c r="C13" s="14" t="s">
        <v>59</v>
      </c>
      <c r="D13" s="14" t="s">
        <v>59</v>
      </c>
      <c r="E13" s="15" t="str">
        <f aca="false">ModelMakerSource!K1</f>
        <v>HR_Employment</v>
      </c>
      <c r="F13" s="14" t="str">
        <f aca="false">ModelMakerSource!K2</f>
        <v>HR_MedicalHIstory</v>
      </c>
      <c r="G13" s="14" t="s">
        <v>70</v>
      </c>
      <c r="H13" s="14" t="str">
        <f aca="false">_xlfn.TEXTJOIN(",",,ModelMakerSource!K3:K17)</f>
        <v>Name,Description,MedicalTest,Treatment,Diagnosis,DateDone,Admission,Doctor,DateEnd,Surgery,Allergy,Price,HospitalClinic,,</v>
      </c>
    </row>
    <row r="14" customFormat="false" ht="32.55" hidden="false" customHeight="true" outlineLevel="0" collapsed="false">
      <c r="A14" s="12" t="s">
        <v>51</v>
      </c>
      <c r="B14" s="12" t="n">
        <v>13</v>
      </c>
      <c r="C14" s="14" t="s">
        <v>59</v>
      </c>
      <c r="D14" s="13" t="s">
        <v>59</v>
      </c>
      <c r="E14" s="15" t="str">
        <f aca="false">ModelMakerSource!L1</f>
        <v>HR_Employment</v>
      </c>
      <c r="F14" s="14" t="str">
        <f aca="false">ModelMakerSource!L2</f>
        <v>HR_Payroll</v>
      </c>
      <c r="G14" s="14" t="s">
        <v>71</v>
      </c>
      <c r="H14" s="14" t="str">
        <f aca="false">_xlfn.TEXTJOIN(",",,ModelMakerSource!L3:L17)</f>
        <v>Name,Value,Description,Paid,C_Period_ID,ChequeNo,Q#Earnings,Q#Deductions,GrandTotal,DateIssued,DatePayment,C_Invoice_ID,,,</v>
      </c>
    </row>
    <row r="15" customFormat="false" ht="32.55" hidden="false" customHeight="true" outlineLevel="0" collapsed="false">
      <c r="A15" s="12" t="s">
        <v>51</v>
      </c>
      <c r="B15" s="12" t="n">
        <v>14</v>
      </c>
      <c r="C15" s="14" t="s">
        <v>59</v>
      </c>
      <c r="D15" s="14" t="s">
        <v>59</v>
      </c>
      <c r="E15" s="15" t="str">
        <f aca="false">ModelMakerSource!M1</f>
        <v>HR_Payroll</v>
      </c>
      <c r="F15" s="14" t="str">
        <f aca="false">ModelMakerSource!M2</f>
        <v>HR_PayrollDetails</v>
      </c>
      <c r="G15" s="14" t="s">
        <v>72</v>
      </c>
      <c r="H15" s="14" t="str">
        <f aca="false">_xlfn.TEXTJOIN(",",,ModelMakerSource!M3:M17)</f>
        <v>PayrollCode,Q#Earnings,Q#Deductions,LineNetAmt,Remarks,,,,,,,,,,</v>
      </c>
    </row>
    <row r="16" customFormat="false" ht="32.55" hidden="false" customHeight="true" outlineLevel="0" collapsed="false">
      <c r="A16" s="12" t="s">
        <v>51</v>
      </c>
      <c r="B16" s="12" t="n">
        <v>15</v>
      </c>
      <c r="C16" s="14" t="s">
        <v>59</v>
      </c>
      <c r="D16" s="14" t="s">
        <v>59</v>
      </c>
      <c r="E16" s="15" t="str">
        <f aca="false">ModelMakerSource!N1</f>
        <v>HR_Employment</v>
      </c>
      <c r="F16" s="14" t="str">
        <f aca="false">ModelMakerSource!N2</f>
        <v>HR_FamilyMembers</v>
      </c>
      <c r="G16" s="14" t="s">
        <v>73</v>
      </c>
      <c r="H16" s="14" t="str">
        <f aca="false">_xlfn.TEXTJOIN(",",,ModelMakerSource!N3:N17)</f>
        <v>Name,Value,Description,Relationship,ContactNo,C_Location_ID,Y#NextOfKin,Relationship,,,,,,,</v>
      </c>
    </row>
    <row r="17" customFormat="false" ht="32.55" hidden="false" customHeight="true" outlineLevel="0" collapsed="false">
      <c r="A17" s="12" t="s">
        <v>51</v>
      </c>
      <c r="B17" s="12" t="n">
        <v>16</v>
      </c>
      <c r="C17" s="14" t="s">
        <v>59</v>
      </c>
      <c r="D17" s="14" t="s">
        <v>59</v>
      </c>
      <c r="E17" s="14" t="str">
        <f aca="false">ModelMakerSource!O1</f>
        <v>HR_Employment</v>
      </c>
      <c r="F17" s="14" t="str">
        <f aca="false">ModelMakerSource!O2</f>
        <v>HR_Appraisal</v>
      </c>
      <c r="G17" s="14" t="s">
        <v>74</v>
      </c>
      <c r="H17" s="11" t="str">
        <f aca="false">_xlfn.TEXTJOIN(",",,ModelMakerSource!O3:O17)</f>
        <v>Name,Description,DateTaken,C_BPartner_ID,T#ExpertAnalysis,Performance,Y#Promoted,QtyIncrement,T#Remarks,Amount,,,,,</v>
      </c>
    </row>
    <row r="18" customFormat="false" ht="32.55" hidden="false" customHeight="true" outlineLevel="0" collapsed="false">
      <c r="A18" s="12" t="s">
        <v>51</v>
      </c>
      <c r="B18" s="12" t="n">
        <v>17</v>
      </c>
      <c r="C18" s="14" t="s">
        <v>59</v>
      </c>
      <c r="D18" s="14" t="s">
        <v>59</v>
      </c>
      <c r="E18" s="14" t="str">
        <f aca="false">ModelMakerSource!P1</f>
        <v>HR_Employment</v>
      </c>
      <c r="F18" s="14" t="str">
        <f aca="false">ModelMakerSource!P2</f>
        <v>HR_Training</v>
      </c>
      <c r="G18" s="14" t="s">
        <v>75</v>
      </c>
      <c r="H18" s="14" t="str">
        <f aca="false">_xlfn.TEXTJOIN(",",,ModelMakerSource!P3:P17)</f>
        <v>Name,Description,HR_TrainingCourse_ID,DateStart,DateEnd,,,,,,,,,,</v>
      </c>
    </row>
    <row r="19" customFormat="false" ht="32.55" hidden="false" customHeight="true" outlineLevel="0" collapsed="false">
      <c r="A19" s="12" t="s">
        <v>51</v>
      </c>
      <c r="B19" s="12" t="n">
        <v>18</v>
      </c>
      <c r="C19" s="14" t="s">
        <v>59</v>
      </c>
      <c r="D19" s="14" t="s">
        <v>59</v>
      </c>
      <c r="E19" s="14" t="str">
        <f aca="false">ModelMakerSource!Q1</f>
        <v>HR_Employment</v>
      </c>
      <c r="F19" s="14" t="str">
        <f aca="false">ModelMakerSource!Q2</f>
        <v>HR_LeaveApplication</v>
      </c>
      <c r="G19" s="14" t="s">
        <v>76</v>
      </c>
      <c r="H19" s="14" t="str">
        <f aca="false">_xlfn.TEXTJOIN(",",,ModelMakerSource!Q3:Q17)</f>
        <v>Name,Description,DateRequested,DateStart,DateEnd,Approved,AD_User_ID,C_BPartner_ID,Qualified,Memo,Substitute,,,,</v>
      </c>
    </row>
    <row r="20" customFormat="false" ht="32.55" hidden="false" customHeight="true" outlineLevel="0" collapsed="false">
      <c r="A20" s="12" t="s">
        <v>51</v>
      </c>
      <c r="B20" s="12" t="n">
        <v>19</v>
      </c>
      <c r="C20" s="14" t="s">
        <v>59</v>
      </c>
      <c r="D20" s="14" t="s">
        <v>59</v>
      </c>
      <c r="E20" s="14" t="str">
        <f aca="false">E19</f>
        <v>HR_Employment</v>
      </c>
      <c r="F20" s="14" t="str">
        <f aca="false">ModelMakerSource!R2</f>
        <v>HR_AssistanceRequest</v>
      </c>
      <c r="G20" s="14" t="s">
        <v>77</v>
      </c>
      <c r="H20" s="14" t="str">
        <f aca="false">_xlfn.TEXTJOIN(",",,ModelMakerSource!R3:R17)</f>
        <v>Name,Description,DateRequested,R_RequestType_ID,Amount,Approved,AD_User_ID,C_BPartner_ID,Period,R_Request_ID,Result,,,,</v>
      </c>
    </row>
    <row r="21" s="11" customFormat="true" ht="32.5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&amp;L&amp;"Arial,Regular"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3" activeCellId="0" sqref="A3"/>
    </sheetView>
  </sheetViews>
  <sheetFormatPr defaultRowHeight="15" zeroHeight="false" outlineLevelRow="0" outlineLevelCol="0"/>
  <cols>
    <col collapsed="false" customWidth="true" hidden="false" outlineLevel="0" max="1" min="1" style="7" width="10.69"/>
    <col collapsed="false" customWidth="true" hidden="false" outlineLevel="0" max="2" min="2" style="7" width="5.19"/>
    <col collapsed="false" customWidth="true" hidden="false" outlineLevel="0" max="3" min="3" style="7" width="14.51"/>
    <col collapsed="false" customWidth="true" hidden="false" outlineLevel="0" max="4" min="4" style="7" width="11.06"/>
    <col collapsed="false" customWidth="true" hidden="false" outlineLevel="0" max="5" min="5" style="7" width="6.87"/>
    <col collapsed="false" customWidth="true" hidden="false" outlineLevel="0" max="6" min="6" style="7" width="6.97"/>
    <col collapsed="false" customWidth="true" hidden="false" outlineLevel="0" max="7" min="7" style="7" width="14.3"/>
    <col collapsed="false" customWidth="true" hidden="false" outlineLevel="0" max="8" min="8" style="7" width="26.13"/>
    <col collapsed="false" customWidth="true" hidden="false" outlineLevel="0" max="9" min="9" style="7" width="24.28"/>
    <col collapsed="false" customWidth="true" hidden="false" outlineLevel="0" max="255" min="10" style="7" width="12.25"/>
    <col collapsed="false" customWidth="true" hidden="false" outlineLevel="0" max="1025" min="256" style="0" width="12.25"/>
  </cols>
  <sheetData>
    <row r="1" customFormat="false" ht="44.55" hidden="false" customHeight="true" outlineLevel="0" collapsed="false">
      <c r="A1" s="8" t="s">
        <v>52</v>
      </c>
      <c r="B1" s="8" t="s">
        <v>53</v>
      </c>
      <c r="C1" s="8" t="s">
        <v>10</v>
      </c>
      <c r="D1" s="8" t="s">
        <v>78</v>
      </c>
      <c r="E1" s="8" t="s">
        <v>79</v>
      </c>
      <c r="F1" s="8" t="s">
        <v>80</v>
      </c>
      <c r="G1" s="8" t="s">
        <v>81</v>
      </c>
      <c r="H1" s="8" t="s">
        <v>82</v>
      </c>
      <c r="I1" s="8" t="s">
        <v>83</v>
      </c>
    </row>
    <row r="2" customFormat="false" ht="44.55" hidden="false" customHeight="true" outlineLevel="0" collapsed="false">
      <c r="A2" s="8" t="str">
        <f aca="false">1_RO_ModelHeader!A2</f>
        <v>HRMIS</v>
      </c>
      <c r="B2" s="8" t="n">
        <v>1</v>
      </c>
      <c r="C2" s="9" t="str">
        <f aca="false">2_RO_ModelMaker!F12</f>
        <v>HR_EmploymentHistory</v>
      </c>
      <c r="D2" s="9" t="s">
        <v>84</v>
      </c>
      <c r="E2" s="9" t="s">
        <v>85</v>
      </c>
      <c r="F2" s="9" t="s">
        <v>85</v>
      </c>
      <c r="G2" s="9" t="s">
        <v>86</v>
      </c>
      <c r="H2" s="9"/>
      <c r="I2" s="9" t="s">
        <v>87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&amp;L&amp;"Arial,Regular"	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D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255" min="1" style="7" width="12.25"/>
    <col collapsed="false" customWidth="true" hidden="false" outlineLevel="0" max="1025" min="256" style="0" width="12.25"/>
  </cols>
  <sheetData>
    <row r="1" customFormat="false" ht="20.55" hidden="false" customHeight="true" outlineLevel="0" collapsed="false">
      <c r="A1" s="8" t="s">
        <v>10</v>
      </c>
      <c r="B1" s="8" t="s">
        <v>88</v>
      </c>
      <c r="C1" s="8" t="s">
        <v>89</v>
      </c>
      <c r="D1" s="8" t="s">
        <v>90</v>
      </c>
    </row>
    <row r="2" customFormat="false" ht="20.55" hidden="false" customHeight="true" outlineLevel="0" collapsed="false">
      <c r="A2" s="8" t="str">
        <f aca="false">1_RO_ModelHeader!A2</f>
        <v>HRMIS</v>
      </c>
      <c r="B2" s="9" t="s">
        <v>91</v>
      </c>
      <c r="C2" s="9" t="s">
        <v>92</v>
      </c>
      <c r="D2" s="9" t="n">
        <v>1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&amp;L&amp;"Arial,Regular"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H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7" width="12.25"/>
    <col collapsed="false" customWidth="true" hidden="false" outlineLevel="0" max="2" min="2" style="7" width="3.93"/>
    <col collapsed="false" customWidth="true" hidden="false" outlineLevel="0" max="3" min="3" style="7" width="7.15"/>
    <col collapsed="false" customWidth="true" hidden="false" outlineLevel="0" max="4" min="4" style="7" width="5.4"/>
    <col collapsed="false" customWidth="true" hidden="false" outlineLevel="0" max="5" min="5" style="7" width="7.42"/>
    <col collapsed="false" customWidth="true" hidden="false" outlineLevel="0" max="6" min="6" style="7" width="13.16"/>
    <col collapsed="false" customWidth="true" hidden="false" outlineLevel="0" max="8" min="7" style="7" width="47.21"/>
    <col collapsed="false" customWidth="true" hidden="false" outlineLevel="0" max="255" min="9" style="7" width="12.25"/>
    <col collapsed="false" customWidth="true" hidden="false" outlineLevel="0" max="1025" min="256" style="0" width="12.25"/>
  </cols>
  <sheetData>
    <row r="1" customFormat="false" ht="32.55" hidden="false" customHeight="true" outlineLevel="0" collapsed="false">
      <c r="A1" s="8" t="s">
        <v>93</v>
      </c>
      <c r="B1" s="8" t="s">
        <v>94</v>
      </c>
      <c r="C1" s="8" t="s">
        <v>88</v>
      </c>
      <c r="D1" s="8" t="s">
        <v>89</v>
      </c>
      <c r="E1" s="8" t="s">
        <v>95</v>
      </c>
      <c r="F1" s="8" t="s">
        <v>96</v>
      </c>
      <c r="G1" s="8" t="s">
        <v>97</v>
      </c>
      <c r="H1" s="8" t="s">
        <v>82</v>
      </c>
    </row>
    <row r="2" customFormat="false" ht="20.55" hidden="false" customHeight="true" outlineLevel="0" collapsed="false">
      <c r="A2" s="8" t="str">
        <f aca="false">4_AD_Package_Exp!A2</f>
        <v>HRMIS</v>
      </c>
      <c r="B2" s="9" t="s">
        <v>98</v>
      </c>
      <c r="C2" s="9" t="str">
        <f aca="false">4_AD_Package_Exp!B2</f>
        <v>System</v>
      </c>
      <c r="D2" s="9" t="str">
        <f aca="false">4_AD_Package_Exp!C2</f>
        <v>*</v>
      </c>
      <c r="E2" s="9" t="s">
        <v>99</v>
      </c>
      <c r="F2" s="9" t="s">
        <v>100</v>
      </c>
      <c r="G2" s="9" t="s">
        <v>101</v>
      </c>
      <c r="H2" s="9" t="s">
        <v>102</v>
      </c>
    </row>
    <row r="3" customFormat="false" ht="32.35" hidden="false" customHeight="true" outlineLevel="0" collapsed="false">
      <c r="A3" s="8" t="str">
        <f aca="false">A2</f>
        <v>HRMIS</v>
      </c>
      <c r="B3" s="16" t="s">
        <v>103</v>
      </c>
      <c r="C3" s="16" t="str">
        <f aca="false">C2</f>
        <v>System</v>
      </c>
      <c r="D3" s="16" t="str">
        <f aca="false">D2</f>
        <v>*</v>
      </c>
      <c r="E3" s="16" t="str">
        <f aca="false">E2</f>
        <v>New Menu</v>
      </c>
      <c r="F3" s="16" t="s">
        <v>100</v>
      </c>
      <c r="G3" s="16" t="str">
        <f aca="false">CONCATENATE(G2,A2,H2)</f>
        <v>SELECT * FROM AD_Package_Exp WHERE NAME = 'HRMIS‘;AD_Package_Exp_Detail</v>
      </c>
      <c r="H3" s="16" t="s">
        <v>104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&amp;L&amp;"Arial,Regular"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33" activeCellId="0" sqref="E33"/>
    </sheetView>
  </sheetViews>
  <sheetFormatPr defaultRowHeight="12.8" zeroHeight="false" outlineLevelRow="0" outlineLevelCol="0"/>
  <cols>
    <col collapsed="false" customWidth="true" hidden="false" outlineLevel="0" max="1" min="1" style="0" width="39.48"/>
    <col collapsed="false" customWidth="true" hidden="false" outlineLevel="0" max="2" min="2" style="0" width="10.66"/>
    <col collapsed="false" customWidth="true" hidden="false" outlineLevel="0" max="3" min="3" style="0" width="10.46"/>
    <col collapsed="false" customWidth="true" hidden="false" outlineLevel="0" max="4" min="4" style="0" width="20.13"/>
    <col collapsed="false" customWidth="true" hidden="false" outlineLevel="0" max="1025" min="5" style="0" width="8.36"/>
  </cols>
  <sheetData>
    <row r="1" customFormat="false" ht="15.65" hidden="false" customHeight="false" outlineLevel="0" collapsed="false">
      <c r="A1" s="0" t="s">
        <v>10</v>
      </c>
      <c r="B1" s="0" t="s">
        <v>105</v>
      </c>
      <c r="C1" s="0" t="s">
        <v>106</v>
      </c>
      <c r="D1" s="0" t="s">
        <v>107</v>
      </c>
    </row>
    <row r="2" customFormat="false" ht="15.65" hidden="false" customHeight="false" outlineLevel="0" collapsed="false">
      <c r="A2" s="0" t="s">
        <v>108</v>
      </c>
      <c r="B2" s="0" t="n">
        <v>34536345</v>
      </c>
      <c r="C2" s="0" t="s">
        <v>85</v>
      </c>
      <c r="D2" s="0" t="s">
        <v>109</v>
      </c>
    </row>
    <row r="3" customFormat="false" ht="15.65" hidden="false" customHeight="false" outlineLevel="0" collapsed="false">
      <c r="A3" s="0" t="s">
        <v>110</v>
      </c>
      <c r="B3" s="0" t="n">
        <v>33553115</v>
      </c>
      <c r="C3" s="0" t="s">
        <v>85</v>
      </c>
      <c r="D3" s="0" t="s">
        <v>109</v>
      </c>
    </row>
    <row r="4" customFormat="false" ht="15.65" hidden="false" customHeight="false" outlineLevel="0" collapsed="false">
      <c r="A4" s="0" t="s">
        <v>111</v>
      </c>
      <c r="B4" s="0" t="n">
        <v>31565637</v>
      </c>
      <c r="C4" s="0" t="s">
        <v>85</v>
      </c>
      <c r="D4" s="0" t="s">
        <v>109</v>
      </c>
    </row>
    <row r="5" customFormat="false" ht="15.65" hidden="false" customHeight="false" outlineLevel="0" collapsed="false">
      <c r="A5" s="0" t="s">
        <v>112</v>
      </c>
      <c r="B5" s="0" t="n">
        <v>34536346</v>
      </c>
      <c r="C5" s="0" t="s">
        <v>85</v>
      </c>
      <c r="D5" s="0" t="s">
        <v>109</v>
      </c>
    </row>
    <row r="6" customFormat="false" ht="15.65" hidden="false" customHeight="false" outlineLevel="0" collapsed="false">
      <c r="A6" s="0" t="s">
        <v>113</v>
      </c>
      <c r="B6" s="0" t="n">
        <v>33553116</v>
      </c>
      <c r="C6" s="0" t="s">
        <v>85</v>
      </c>
      <c r="D6" s="0" t="s">
        <v>109</v>
      </c>
    </row>
    <row r="7" customFormat="false" ht="15.65" hidden="false" customHeight="false" outlineLevel="0" collapsed="false">
      <c r="A7" s="0" t="s">
        <v>114</v>
      </c>
      <c r="B7" s="0" t="n">
        <v>31565638</v>
      </c>
      <c r="C7" s="0" t="s">
        <v>85</v>
      </c>
      <c r="D7" s="0" t="s">
        <v>109</v>
      </c>
    </row>
    <row r="8" customFormat="false" ht="15.65" hidden="false" customHeight="false" outlineLevel="0" collapsed="false">
      <c r="A8" s="0" t="s">
        <v>115</v>
      </c>
      <c r="B8" s="0" t="n">
        <v>34536347</v>
      </c>
      <c r="C8" s="0" t="s">
        <v>85</v>
      </c>
      <c r="D8" s="0" t="s">
        <v>109</v>
      </c>
    </row>
    <row r="9" customFormat="false" ht="15.65" hidden="false" customHeight="false" outlineLevel="0" collapsed="false">
      <c r="A9" s="0" t="s">
        <v>116</v>
      </c>
      <c r="B9" s="0" t="n">
        <v>33553117</v>
      </c>
      <c r="C9" s="0" t="s">
        <v>85</v>
      </c>
      <c r="D9" s="0" t="s">
        <v>109</v>
      </c>
    </row>
    <row r="10" customFormat="false" ht="15.65" hidden="false" customHeight="false" outlineLevel="0" collapsed="false">
      <c r="A10" s="0" t="s">
        <v>117</v>
      </c>
      <c r="B10" s="0" t="n">
        <v>31565639</v>
      </c>
      <c r="C10" s="0" t="s">
        <v>85</v>
      </c>
      <c r="D10" s="0" t="s">
        <v>109</v>
      </c>
    </row>
    <row r="11" customFormat="false" ht="15.65" hidden="false" customHeight="false" outlineLevel="0" collapsed="false">
      <c r="A11" s="0" t="s">
        <v>118</v>
      </c>
      <c r="B11" s="0" t="n">
        <v>34536348</v>
      </c>
      <c r="C11" s="0" t="s">
        <v>85</v>
      </c>
      <c r="D11" s="0" t="s">
        <v>109</v>
      </c>
    </row>
    <row r="12" customFormat="false" ht="15.65" hidden="false" customHeight="false" outlineLevel="0" collapsed="false">
      <c r="A12" s="0" t="s">
        <v>119</v>
      </c>
      <c r="B12" s="0" t="n">
        <v>33553118</v>
      </c>
      <c r="C12" s="0" t="s">
        <v>85</v>
      </c>
      <c r="D12" s="0" t="s">
        <v>109</v>
      </c>
    </row>
    <row r="13" customFormat="false" ht="15.65" hidden="false" customHeight="false" outlineLevel="0" collapsed="false">
      <c r="A13" s="0" t="s">
        <v>120</v>
      </c>
      <c r="B13" s="0" t="n">
        <v>31565640</v>
      </c>
      <c r="C13" s="0" t="s">
        <v>85</v>
      </c>
      <c r="D13" s="0" t="s">
        <v>109</v>
      </c>
    </row>
    <row r="14" customFormat="false" ht="15.65" hidden="false" customHeight="false" outlineLevel="0" collapsed="false">
      <c r="A14" s="0" t="s">
        <v>121</v>
      </c>
      <c r="B14" s="0" t="n">
        <v>34536349</v>
      </c>
      <c r="C14" s="0" t="s">
        <v>85</v>
      </c>
      <c r="D14" s="0" t="s">
        <v>109</v>
      </c>
    </row>
    <row r="15" customFormat="false" ht="15.65" hidden="false" customHeight="false" outlineLevel="0" collapsed="false">
      <c r="A15" s="0" t="s">
        <v>122</v>
      </c>
      <c r="B15" s="0" t="n">
        <v>33553119</v>
      </c>
      <c r="C15" s="0" t="s">
        <v>85</v>
      </c>
      <c r="D15" s="0" t="s">
        <v>109</v>
      </c>
    </row>
    <row r="16" customFormat="false" ht="15.65" hidden="false" customHeight="false" outlineLevel="0" collapsed="false">
      <c r="A16" s="0" t="s">
        <v>123</v>
      </c>
      <c r="B16" s="0" t="n">
        <v>31565641</v>
      </c>
      <c r="C16" s="0" t="s">
        <v>85</v>
      </c>
      <c r="D16" s="0" t="s">
        <v>109</v>
      </c>
    </row>
    <row r="17" customFormat="false" ht="15.65" hidden="false" customHeight="false" outlineLevel="0" collapsed="false">
      <c r="A17" s="0" t="s">
        <v>124</v>
      </c>
      <c r="B17" s="0" t="n">
        <v>34536350</v>
      </c>
      <c r="C17" s="0" t="s">
        <v>85</v>
      </c>
      <c r="D17" s="0" t="s">
        <v>109</v>
      </c>
    </row>
    <row r="18" customFormat="false" ht="15.65" hidden="false" customHeight="false" outlineLevel="0" collapsed="false">
      <c r="A18" s="0" t="s">
        <v>125</v>
      </c>
      <c r="B18" s="0" t="n">
        <v>33553120</v>
      </c>
      <c r="C18" s="0" t="s">
        <v>85</v>
      </c>
      <c r="D18" s="0" t="s">
        <v>109</v>
      </c>
    </row>
    <row r="19" customFormat="false" ht="15.65" hidden="false" customHeight="false" outlineLevel="0" collapsed="false">
      <c r="A19" s="0" t="s">
        <v>126</v>
      </c>
      <c r="B19" s="0" t="n">
        <v>31565642</v>
      </c>
      <c r="C19" s="0" t="s">
        <v>85</v>
      </c>
      <c r="D19" s="0" t="s">
        <v>109</v>
      </c>
    </row>
    <row r="20" customFormat="false" ht="15.65" hidden="false" customHeight="false" outlineLevel="0" collapsed="false">
      <c r="A20" s="0" t="s">
        <v>127</v>
      </c>
      <c r="B20" s="0" t="n">
        <v>34536351</v>
      </c>
      <c r="C20" s="0" t="s">
        <v>85</v>
      </c>
      <c r="D20" s="0" t="s">
        <v>109</v>
      </c>
    </row>
    <row r="21" customFormat="false" ht="15.65" hidden="false" customHeight="false" outlineLevel="0" collapsed="false">
      <c r="A21" s="0" t="s">
        <v>128</v>
      </c>
      <c r="B21" s="0" t="n">
        <v>33553121</v>
      </c>
      <c r="C21" s="0" t="s">
        <v>85</v>
      </c>
      <c r="D21" s="0" t="s">
        <v>109</v>
      </c>
    </row>
    <row r="22" customFormat="false" ht="15.65" hidden="false" customHeight="false" outlineLevel="0" collapsed="false">
      <c r="A22" s="0" t="s">
        <v>129</v>
      </c>
      <c r="B22" s="0" t="n">
        <v>31565643</v>
      </c>
      <c r="C22" s="0" t="s">
        <v>85</v>
      </c>
      <c r="D22" s="0" t="s">
        <v>109</v>
      </c>
    </row>
    <row r="23" customFormat="false" ht="15.65" hidden="false" customHeight="false" outlineLevel="0" collapsed="false">
      <c r="A23" s="0" t="s">
        <v>130</v>
      </c>
      <c r="B23" s="0" t="n">
        <v>34536352</v>
      </c>
      <c r="C23" s="0" t="s">
        <v>85</v>
      </c>
      <c r="D23" s="0" t="s">
        <v>109</v>
      </c>
    </row>
    <row r="24" customFormat="false" ht="15.65" hidden="false" customHeight="false" outlineLevel="0" collapsed="false">
      <c r="A24" s="0" t="s">
        <v>131</v>
      </c>
      <c r="B24" s="0" t="n">
        <v>33553122</v>
      </c>
      <c r="C24" s="0" t="s">
        <v>85</v>
      </c>
      <c r="D24" s="0" t="s">
        <v>109</v>
      </c>
    </row>
    <row r="25" customFormat="false" ht="15.65" hidden="false" customHeight="false" outlineLevel="0" collapsed="false">
      <c r="A25" s="0" t="s">
        <v>132</v>
      </c>
      <c r="B25" s="0" t="n">
        <v>31565644</v>
      </c>
      <c r="C25" s="0" t="s">
        <v>85</v>
      </c>
      <c r="D25" s="0" t="s">
        <v>109</v>
      </c>
    </row>
    <row r="26" customFormat="false" ht="15.65" hidden="false" customHeight="false" outlineLevel="0" collapsed="false">
      <c r="A26" s="0" t="s">
        <v>133</v>
      </c>
      <c r="B26" s="0" t="n">
        <v>34536353</v>
      </c>
      <c r="C26" s="0" t="s">
        <v>85</v>
      </c>
      <c r="D26" s="0" t="s">
        <v>109</v>
      </c>
    </row>
    <row r="27" customFormat="false" ht="15.65" hidden="false" customHeight="false" outlineLevel="0" collapsed="false">
      <c r="A27" s="0" t="s">
        <v>134</v>
      </c>
      <c r="B27" s="0" t="n">
        <v>33553123</v>
      </c>
      <c r="C27" s="0" t="s">
        <v>85</v>
      </c>
      <c r="D27" s="0" t="s">
        <v>109</v>
      </c>
    </row>
    <row r="28" customFormat="false" ht="15.65" hidden="false" customHeight="false" outlineLevel="0" collapsed="false">
      <c r="A28" s="0" t="s">
        <v>135</v>
      </c>
      <c r="B28" s="0" t="n">
        <v>31565645</v>
      </c>
      <c r="C28" s="0" t="s">
        <v>85</v>
      </c>
      <c r="D28" s="0" t="s">
        <v>109</v>
      </c>
    </row>
    <row r="29" customFormat="false" ht="15.65" hidden="false" customHeight="false" outlineLevel="0" collapsed="false">
      <c r="A29" s="0" t="s">
        <v>136</v>
      </c>
      <c r="B29" s="0" t="n">
        <v>34536346</v>
      </c>
      <c r="C29" s="0" t="s">
        <v>85</v>
      </c>
      <c r="D29" s="0" t="s">
        <v>109</v>
      </c>
    </row>
    <row r="30" customFormat="false" ht="15.65" hidden="false" customHeight="false" outlineLevel="0" collapsed="false">
      <c r="A30" s="0" t="s">
        <v>137</v>
      </c>
      <c r="B30" s="0" t="n">
        <v>33553116</v>
      </c>
      <c r="C30" s="0" t="s">
        <v>85</v>
      </c>
      <c r="D30" s="0" t="s">
        <v>109</v>
      </c>
    </row>
    <row r="31" customFormat="false" ht="15.65" hidden="false" customHeight="false" outlineLevel="0" collapsed="false">
      <c r="A31" s="0" t="s">
        <v>138</v>
      </c>
      <c r="B31" s="0" t="n">
        <v>31565638</v>
      </c>
      <c r="C31" s="0" t="s">
        <v>85</v>
      </c>
      <c r="D31" s="0" t="s">
        <v>109</v>
      </c>
    </row>
    <row r="32" customFormat="false" ht="15.65" hidden="false" customHeight="false" outlineLevel="0" collapsed="false">
      <c r="A32" s="0" t="s">
        <v>139</v>
      </c>
      <c r="B32" s="0" t="n">
        <v>34536347</v>
      </c>
      <c r="C32" s="0" t="s">
        <v>85</v>
      </c>
      <c r="D32" s="0" t="s">
        <v>109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6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K16" activeCellId="0" sqref="K16"/>
    </sheetView>
  </sheetViews>
  <sheetFormatPr defaultRowHeight="12.8" zeroHeight="false" outlineLevelRow="0" outlineLevelCol="0"/>
  <cols>
    <col collapsed="false" customWidth="true" hidden="false" outlineLevel="0" max="1" min="1" style="17" width="17.76"/>
    <col collapsed="false" customWidth="true" hidden="false" outlineLevel="0" max="2" min="2" style="17" width="12.63"/>
    <col collapsed="false" customWidth="true" hidden="false" outlineLevel="0" max="3" min="3" style="17" width="10.26"/>
    <col collapsed="false" customWidth="true" hidden="false" outlineLevel="0" max="4" min="4" style="17" width="8.36"/>
    <col collapsed="false" customWidth="false" hidden="false" outlineLevel="0" max="5" min="5" style="17" width="11.44"/>
    <col collapsed="false" customWidth="true" hidden="false" outlineLevel="0" max="6" min="6" style="17" width="13.13"/>
    <col collapsed="false" customWidth="true" hidden="false" outlineLevel="0" max="9" min="7" style="17" width="10.46"/>
    <col collapsed="false" customWidth="true" hidden="false" outlineLevel="0" max="10" min="10" style="17" width="13.72"/>
    <col collapsed="false" customWidth="true" hidden="false" outlineLevel="0" max="11" min="11" style="17" width="12.93"/>
    <col collapsed="false" customWidth="true" hidden="false" outlineLevel="0" max="12" min="12" style="17" width="14.21"/>
    <col collapsed="false" customWidth="true" hidden="false" outlineLevel="0" max="15" min="13" style="17" width="9.08"/>
    <col collapsed="false" customWidth="true" hidden="false" outlineLevel="0" max="16" min="16" style="17" width="8.98"/>
    <col collapsed="false" customWidth="true" hidden="false" outlineLevel="0" max="17" min="17" style="17" width="8.36"/>
    <col collapsed="false" customWidth="true" hidden="false" outlineLevel="0" max="18" min="18" style="17" width="9.86"/>
    <col collapsed="false" customWidth="true" hidden="false" outlineLevel="0" max="1025" min="19" style="17" width="8.36"/>
  </cols>
  <sheetData>
    <row r="1" s="18" customFormat="true" ht="12.8" hidden="false" customHeight="true" outlineLevel="0" collapsed="false">
      <c r="B1" s="19" t="str">
        <f aca="false">A2</f>
        <v>HR_HumanResourceManagement</v>
      </c>
      <c r="C1" s="18" t="str">
        <f aca="false">A2</f>
        <v>HR_HumanResourceManagement</v>
      </c>
      <c r="D1" s="18" t="str">
        <f aca="false">A2</f>
        <v>HR_HumanResourceManagement</v>
      </c>
      <c r="E1" s="18" t="str">
        <f aca="false">A2</f>
        <v>HR_HumanResourceManagement</v>
      </c>
      <c r="F1" s="18" t="str">
        <f aca="false">A2</f>
        <v>HR_HumanResourceManagement</v>
      </c>
      <c r="G1" s="18" t="str">
        <f aca="false">F1</f>
        <v>HR_HumanResourceManagement</v>
      </c>
      <c r="H1" s="18" t="str">
        <f aca="false">G1</f>
        <v>HR_HumanResourceManagement</v>
      </c>
      <c r="J1" s="18" t="str">
        <f aca="false">I2</f>
        <v>HR_Employment</v>
      </c>
      <c r="K1" s="18" t="str">
        <f aca="false">I2</f>
        <v>HR_Employment</v>
      </c>
      <c r="L1" s="18" t="str">
        <f aca="false">J1</f>
        <v>HR_Employment</v>
      </c>
      <c r="M1" s="18" t="str">
        <f aca="false">L2</f>
        <v>HR_Payroll</v>
      </c>
      <c r="N1" s="18" t="str">
        <f aca="false">J1</f>
        <v>HR_Employment</v>
      </c>
      <c r="O1" s="18" t="str">
        <f aca="false">N1</f>
        <v>HR_Employment</v>
      </c>
      <c r="P1" s="18" t="str">
        <f aca="false">N1</f>
        <v>HR_Employment</v>
      </c>
      <c r="Q1" s="18" t="str">
        <f aca="false">N1</f>
        <v>HR_Employment</v>
      </c>
      <c r="R1" s="18" t="str">
        <f aca="false">N1</f>
        <v>HR_Employment</v>
      </c>
    </row>
    <row r="2" s="18" customFormat="true" ht="26.85" hidden="false" customHeight="true" outlineLevel="0" collapsed="false">
      <c r="A2" s="18" t="s">
        <v>140</v>
      </c>
      <c r="B2" s="19" t="s">
        <v>141</v>
      </c>
      <c r="C2" s="18" t="s">
        <v>142</v>
      </c>
      <c r="D2" s="18" t="s">
        <v>143</v>
      </c>
      <c r="E2" s="18" t="s">
        <v>144</v>
      </c>
      <c r="F2" s="18" t="s">
        <v>145</v>
      </c>
      <c r="G2" s="18" t="s">
        <v>146</v>
      </c>
      <c r="H2" s="18" t="s">
        <v>147</v>
      </c>
      <c r="I2" s="18" t="s">
        <v>148</v>
      </c>
      <c r="J2" s="18" t="s">
        <v>149</v>
      </c>
      <c r="K2" s="18" t="s">
        <v>150</v>
      </c>
      <c r="L2" s="18" t="s">
        <v>151</v>
      </c>
      <c r="M2" s="18" t="s">
        <v>152</v>
      </c>
      <c r="N2" s="18" t="s">
        <v>153</v>
      </c>
      <c r="O2" s="18" t="s">
        <v>154</v>
      </c>
      <c r="P2" s="18" t="s">
        <v>155</v>
      </c>
      <c r="Q2" s="18" t="s">
        <v>156</v>
      </c>
      <c r="R2" s="18" t="s">
        <v>157</v>
      </c>
    </row>
    <row r="3" customFormat="false" ht="24.6" hidden="false" customHeight="true" outlineLevel="0" collapsed="false">
      <c r="A3" s="20" t="s">
        <v>10</v>
      </c>
      <c r="B3" s="14" t="s">
        <v>10</v>
      </c>
      <c r="C3" s="14" t="s">
        <v>10</v>
      </c>
      <c r="D3" s="20" t="s">
        <v>10</v>
      </c>
      <c r="E3" s="20" t="s">
        <v>10</v>
      </c>
      <c r="F3" s="20" t="s">
        <v>10</v>
      </c>
      <c r="G3" s="20" t="s">
        <v>10</v>
      </c>
      <c r="H3" s="20" t="s">
        <v>10</v>
      </c>
      <c r="I3" s="20" t="s">
        <v>10</v>
      </c>
      <c r="J3" s="20" t="s">
        <v>10</v>
      </c>
      <c r="K3" s="20" t="s">
        <v>10</v>
      </c>
      <c r="L3" s="20" t="s">
        <v>10</v>
      </c>
      <c r="M3" s="11" t="s">
        <v>158</v>
      </c>
      <c r="N3" s="20" t="s">
        <v>10</v>
      </c>
      <c r="O3" s="20" t="s">
        <v>10</v>
      </c>
      <c r="P3" s="20" t="s">
        <v>10</v>
      </c>
      <c r="Q3" s="20" t="s">
        <v>10</v>
      </c>
      <c r="R3" s="17" t="s">
        <v>10</v>
      </c>
    </row>
    <row r="4" customFormat="false" ht="26.85" hidden="false" customHeight="true" outlineLevel="0" collapsed="false">
      <c r="A4" s="17" t="s">
        <v>159</v>
      </c>
      <c r="B4" s="17" t="s">
        <v>82</v>
      </c>
      <c r="C4" s="17" t="s">
        <v>159</v>
      </c>
      <c r="D4" s="17" t="s">
        <v>82</v>
      </c>
      <c r="E4" s="17" t="s">
        <v>82</v>
      </c>
      <c r="F4" s="17" t="s">
        <v>82</v>
      </c>
      <c r="G4" s="17" t="s">
        <v>82</v>
      </c>
      <c r="H4" s="17" t="s">
        <v>105</v>
      </c>
      <c r="I4" s="11" t="str">
        <f aca="false">"C_BPartner_ID"</f>
        <v>C_BPartner_ID</v>
      </c>
      <c r="J4" s="17" t="s">
        <v>82</v>
      </c>
      <c r="K4" s="17" t="s">
        <v>82</v>
      </c>
      <c r="L4" s="17" t="s">
        <v>105</v>
      </c>
      <c r="M4" s="17" t="s">
        <v>160</v>
      </c>
      <c r="N4" s="17" t="s">
        <v>105</v>
      </c>
      <c r="O4" s="17" t="s">
        <v>82</v>
      </c>
      <c r="P4" s="17" t="s">
        <v>82</v>
      </c>
      <c r="Q4" s="17" t="s">
        <v>82</v>
      </c>
      <c r="R4" s="17" t="s">
        <v>82</v>
      </c>
    </row>
    <row r="5" customFormat="false" ht="24.6" hidden="false" customHeight="true" outlineLevel="0" collapsed="false">
      <c r="A5" s="17" t="s">
        <v>161</v>
      </c>
      <c r="B5" s="17" t="str">
        <f aca="false">DataTypeMaker!B4</f>
        <v>Qualification</v>
      </c>
      <c r="C5" s="17" t="s">
        <v>82</v>
      </c>
      <c r="D5" s="17" t="s">
        <v>162</v>
      </c>
      <c r="E5" s="17" t="str">
        <f aca="false">C2&amp;"_ID"</f>
        <v>HR_Trainer_ID</v>
      </c>
      <c r="F5" s="17" t="str">
        <f aca="false">B2</f>
        <v>HR_JobDesignation</v>
      </c>
      <c r="G5" s="17" t="s">
        <v>163</v>
      </c>
      <c r="H5" s="17" t="str">
        <f aca="false">"C_BPartner_ID"</f>
        <v>C_BPartner_ID</v>
      </c>
      <c r="I5" s="17" t="s">
        <v>82</v>
      </c>
      <c r="J5" s="17" t="str">
        <f aca="false">I6</f>
        <v>ContractType</v>
      </c>
      <c r="K5" s="17" t="s">
        <v>164</v>
      </c>
      <c r="L5" s="17" t="s">
        <v>82</v>
      </c>
      <c r="M5" s="17" t="s">
        <v>165</v>
      </c>
      <c r="N5" s="17" t="s">
        <v>82</v>
      </c>
      <c r="O5" s="17" t="s">
        <v>166</v>
      </c>
      <c r="P5" s="17" t="str">
        <f aca="false">E2&amp;"_ID"</f>
        <v>HR_TrainingCourse_ID</v>
      </c>
      <c r="Q5" s="17" t="s">
        <v>167</v>
      </c>
      <c r="R5" s="17" t="s">
        <v>167</v>
      </c>
    </row>
    <row r="6" customFormat="false" ht="20.85" hidden="false" customHeight="true" outlineLevel="0" collapsed="false">
      <c r="A6" s="17" t="s">
        <v>168</v>
      </c>
      <c r="B6" s="17" t="s">
        <v>17</v>
      </c>
      <c r="C6" s="17" t="s">
        <v>169</v>
      </c>
      <c r="D6" s="17" t="s">
        <v>170</v>
      </c>
      <c r="E6" s="17" t="str">
        <f aca="false">DataTypeMaker!E4</f>
        <v>TrainingType</v>
      </c>
      <c r="F6" s="17" t="s">
        <v>171</v>
      </c>
      <c r="G6" s="17" t="s">
        <v>172</v>
      </c>
      <c r="H6" s="17" t="s">
        <v>173</v>
      </c>
      <c r="I6" s="17" t="str">
        <f aca="false">DataTypeMaker!C4</f>
        <v>ContractType</v>
      </c>
      <c r="J6" s="17" t="str">
        <f aca="false">DataTypeMaker!D4</f>
        <v>PaidBy</v>
      </c>
      <c r="K6" s="17" t="s">
        <v>174</v>
      </c>
      <c r="L6" s="17" t="s">
        <v>175</v>
      </c>
      <c r="M6" s="17" t="s">
        <v>176</v>
      </c>
      <c r="N6" s="17" t="s">
        <v>177</v>
      </c>
      <c r="O6" s="17" t="str">
        <f aca="false">"C_BPartner_ID"</f>
        <v>C_BPartner_ID</v>
      </c>
      <c r="P6" s="17" t="s">
        <v>178</v>
      </c>
      <c r="Q6" s="17" t="s">
        <v>178</v>
      </c>
      <c r="R6" s="17" t="s">
        <v>179</v>
      </c>
    </row>
    <row r="7" customFormat="false" ht="23.85" hidden="false" customHeight="false" outlineLevel="0" collapsed="false">
      <c r="B7" s="17" t="s">
        <v>180</v>
      </c>
      <c r="C7" s="17" t="s">
        <v>18</v>
      </c>
      <c r="D7" s="17" t="s">
        <v>181</v>
      </c>
      <c r="E7" s="17" t="str">
        <f aca="false">DataTypeMaker!G4</f>
        <v>Certified</v>
      </c>
      <c r="F7" s="17" t="s">
        <v>182</v>
      </c>
      <c r="G7" s="17" t="s">
        <v>178</v>
      </c>
      <c r="H7" s="17" t="s">
        <v>183</v>
      </c>
      <c r="I7" s="17" t="str">
        <f aca="false">DataTypeMaker!D4</f>
        <v>PaidBy</v>
      </c>
      <c r="J7" s="17" t="s">
        <v>184</v>
      </c>
      <c r="K7" s="17" t="s">
        <v>185</v>
      </c>
      <c r="L7" s="17" t="s">
        <v>186</v>
      </c>
      <c r="M7" s="17" t="s">
        <v>187</v>
      </c>
      <c r="N7" s="17" t="s">
        <v>188</v>
      </c>
      <c r="O7" s="17" t="s">
        <v>189</v>
      </c>
      <c r="P7" s="17" t="s">
        <v>190</v>
      </c>
      <c r="Q7" s="11" t="s">
        <v>190</v>
      </c>
      <c r="R7" s="17" t="s">
        <v>191</v>
      </c>
    </row>
    <row r="8" customFormat="false" ht="12.8" hidden="false" customHeight="false" outlineLevel="0" collapsed="false">
      <c r="B8" s="17" t="s">
        <v>192</v>
      </c>
      <c r="D8" s="17" t="s">
        <v>193</v>
      </c>
      <c r="E8" s="17" t="str">
        <f aca="false">DataTypeMaker!B4</f>
        <v>Qualification</v>
      </c>
      <c r="F8" s="17" t="s">
        <v>178</v>
      </c>
      <c r="G8" s="17" t="s">
        <v>190</v>
      </c>
      <c r="I8" s="17" t="s">
        <v>184</v>
      </c>
      <c r="J8" s="17" t="s">
        <v>178</v>
      </c>
      <c r="K8" s="17" t="s">
        <v>194</v>
      </c>
      <c r="L8" s="17" t="s">
        <v>195</v>
      </c>
      <c r="M8" s="11"/>
      <c r="N8" s="17" t="s">
        <v>169</v>
      </c>
      <c r="O8" s="17" t="str">
        <f aca="false">DataTypeMaker!F4</f>
        <v>Performance</v>
      </c>
      <c r="Q8" s="17" t="s">
        <v>196</v>
      </c>
      <c r="R8" s="17" t="s">
        <v>196</v>
      </c>
    </row>
    <row r="9" customFormat="false" ht="12.8" hidden="false" customHeight="false" outlineLevel="0" collapsed="false">
      <c r="B9" s="17" t="s">
        <v>184</v>
      </c>
      <c r="E9" s="17" t="str">
        <f aca="false">DataTypeMaker!I4</f>
        <v>Registered</v>
      </c>
      <c r="F9" s="17" t="s">
        <v>190</v>
      </c>
      <c r="G9" s="17" t="s">
        <v>197</v>
      </c>
      <c r="I9" s="17" t="s">
        <v>178</v>
      </c>
      <c r="J9" s="17" t="s">
        <v>190</v>
      </c>
      <c r="K9" s="17" t="s">
        <v>198</v>
      </c>
      <c r="L9" s="17" t="s">
        <v>160</v>
      </c>
      <c r="N9" s="14" t="s">
        <v>199</v>
      </c>
      <c r="O9" s="17" t="s">
        <v>200</v>
      </c>
      <c r="Q9" s="17" t="s">
        <v>184</v>
      </c>
      <c r="R9" s="17" t="s">
        <v>184</v>
      </c>
    </row>
    <row r="10" customFormat="false" ht="23.85" hidden="false" customHeight="false" outlineLevel="0" collapsed="false">
      <c r="I10" s="17" t="str">
        <f aca="false">"C_BPartner_ID"</f>
        <v>C_BPartner_ID</v>
      </c>
      <c r="J10" s="17" t="str">
        <f aca="false">I11</f>
        <v>HR_JobDesignation_ID</v>
      </c>
      <c r="K10" s="17" t="s">
        <v>201</v>
      </c>
      <c r="L10" s="17" t="s">
        <v>165</v>
      </c>
      <c r="N10" s="17" t="s">
        <v>177</v>
      </c>
      <c r="O10" s="17" t="s">
        <v>202</v>
      </c>
      <c r="Q10" s="17" t="str">
        <f aca="false">"C_BPartner_ID"</f>
        <v>C_BPartner_ID</v>
      </c>
      <c r="R10" s="17" t="str">
        <f aca="false">"C_BPartner_ID"</f>
        <v>C_BPartner_ID</v>
      </c>
    </row>
    <row r="11" customFormat="false" ht="23.85" hidden="false" customHeight="false" outlineLevel="0" collapsed="false">
      <c r="I11" s="17" t="str">
        <f aca="false">B2&amp;"_ID"</f>
        <v>HR_JobDesignation_ID</v>
      </c>
      <c r="J11" s="17" t="s">
        <v>203</v>
      </c>
      <c r="K11" s="17" t="s">
        <v>190</v>
      </c>
      <c r="L11" s="17" t="s">
        <v>204</v>
      </c>
      <c r="O11" s="17" t="s">
        <v>205</v>
      </c>
      <c r="Q11" s="17" t="s">
        <v>206</v>
      </c>
      <c r="R11" s="17" t="s">
        <v>207</v>
      </c>
    </row>
    <row r="12" customFormat="false" ht="12.8" hidden="false" customHeight="false" outlineLevel="0" collapsed="false">
      <c r="I12" s="17" t="s">
        <v>203</v>
      </c>
      <c r="J12" s="17" t="s">
        <v>208</v>
      </c>
      <c r="K12" s="17" t="s">
        <v>209</v>
      </c>
      <c r="L12" s="17" t="s">
        <v>210</v>
      </c>
      <c r="O12" s="17" t="s">
        <v>191</v>
      </c>
      <c r="Q12" s="17" t="s">
        <v>211</v>
      </c>
      <c r="R12" s="17" t="s">
        <v>212</v>
      </c>
    </row>
    <row r="13" customFormat="false" ht="12.8" hidden="false" customHeight="false" outlineLevel="0" collapsed="false">
      <c r="I13" s="17" t="s">
        <v>208</v>
      </c>
      <c r="J13" s="17" t="s">
        <v>213</v>
      </c>
      <c r="K13" s="17" t="s">
        <v>214</v>
      </c>
      <c r="L13" s="17" t="s">
        <v>215</v>
      </c>
      <c r="Q13" s="17" t="s">
        <v>216</v>
      </c>
      <c r="R13" s="17" t="s">
        <v>217</v>
      </c>
    </row>
    <row r="14" customFormat="false" ht="12.8" hidden="false" customHeight="false" outlineLevel="0" collapsed="false">
      <c r="I14" s="17" t="s">
        <v>218</v>
      </c>
      <c r="J14" s="17" t="s">
        <v>219</v>
      </c>
      <c r="K14" s="17" t="s">
        <v>220</v>
      </c>
      <c r="L14" s="17" t="s">
        <v>221</v>
      </c>
    </row>
    <row r="15" customFormat="false" ht="12.8" hidden="false" customHeight="false" outlineLevel="0" collapsed="false">
      <c r="I15" s="17" t="str">
        <f aca="false">D2&amp;"_ID"</f>
        <v>HR_Rank_ID</v>
      </c>
      <c r="J15" s="17" t="str">
        <f aca="false">D2&amp;"_ID"</f>
        <v>HR_Rank_ID</v>
      </c>
      <c r="K15" s="17" t="s">
        <v>222</v>
      </c>
    </row>
    <row r="16" customFormat="false" ht="23.85" hidden="false" customHeight="false" outlineLevel="0" collapsed="false">
      <c r="I16" s="17" t="str">
        <f aca="false">H2&amp;"_ID"</f>
        <v>HR_EmployeeProvidentFund_ID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RowHeight="12.8" zeroHeight="false" outlineLevelRow="0" outlineLevelCol="0"/>
  <cols>
    <col collapsed="false" customWidth="true" hidden="false" outlineLevel="0" max="1" min="1" style="0" width="15.69"/>
    <col collapsed="false" customWidth="true" hidden="false" outlineLevel="0" max="2" min="2" style="0" width="8.36"/>
    <col collapsed="false" customWidth="false" hidden="false" outlineLevel="0" max="3" min="3" style="0" width="11.35"/>
    <col collapsed="false" customWidth="true" hidden="false" outlineLevel="0" max="1025" min="4" style="0" width="8.36"/>
  </cols>
  <sheetData>
    <row r="1" customFormat="false" ht="23.85" hidden="false" customHeight="false" outlineLevel="0" collapsed="false">
      <c r="A1" s="9" t="s">
        <v>10</v>
      </c>
      <c r="B1" s="21" t="s">
        <v>159</v>
      </c>
      <c r="C1" s="21" t="s">
        <v>161</v>
      </c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RowHeight="12.8" zeroHeight="false" outlineLevelRow="0" outlineLevelCol="0"/>
  <cols>
    <col collapsed="false" customWidth="true" hidden="false" outlineLevel="0" max="2" min="1" style="0" width="8.36"/>
    <col collapsed="false" customWidth="true" hidden="false" outlineLevel="0" max="3" min="3" style="0" width="9.18"/>
    <col collapsed="false" customWidth="true" hidden="false" outlineLevel="0" max="4" min="4" style="0" width="12.04"/>
    <col collapsed="false" customWidth="false" hidden="false" outlineLevel="0" max="5" min="5" style="0" width="11.35"/>
    <col collapsed="false" customWidth="true" hidden="false" outlineLevel="0" max="6" min="6" style="0" width="8.36"/>
    <col collapsed="false" customWidth="true" hidden="false" outlineLevel="0" max="7" min="7" style="0" width="13.52"/>
    <col collapsed="false" customWidth="true" hidden="false" outlineLevel="0" max="1025" min="8" style="0" width="8.36"/>
  </cols>
  <sheetData>
    <row r="1" s="22" customFormat="true" ht="13.8" hidden="false" customHeight="false" outlineLevel="0" collapsed="false">
      <c r="A1" s="22" t="s">
        <v>10</v>
      </c>
      <c r="B1" s="22" t="s">
        <v>82</v>
      </c>
      <c r="C1" s="22" t="s">
        <v>11</v>
      </c>
      <c r="D1" s="22" t="s">
        <v>17</v>
      </c>
      <c r="E1" s="22" t="s">
        <v>180</v>
      </c>
      <c r="F1" s="22" t="s">
        <v>192</v>
      </c>
      <c r="G1" s="22" t="s">
        <v>184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36"/>
  </cols>
  <sheetData>
    <row r="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36"/>
  </cols>
  <sheetData>
    <row r="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36"/>
  </cols>
  <sheetData>
    <row r="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36"/>
  </cols>
  <sheetData>
    <row r="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36"/>
  </cols>
  <sheetData>
    <row r="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36"/>
  </cols>
  <sheetData>
    <row r="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36"/>
  </cols>
  <sheetData>
    <row r="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36"/>
  </cols>
  <sheetData>
    <row r="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LibreOffice/6.1.4.2$Linux_X86_64 LibreOffice_project/edc26d7faf41e406360d34efe1e39fe03035f7b0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2019-01-07T08:38:53Z</dcterms:modified>
  <cp:revision>22</cp:revision>
  <dc:subject/>
  <dc:title/>
</cp:coreProperties>
</file>